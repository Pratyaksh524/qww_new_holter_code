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nvironment" sheetId="2" state="visible" r:id="rId2"/>
    <sheet xmlns:r="http://schemas.openxmlformats.org/officeDocument/2006/relationships" name="EXE Checklist" sheetId="3" state="visible" r:id="rId3"/>
    <sheet xmlns:r="http://schemas.openxmlformats.org/officeDocument/2006/relationships" name="Android (KRP)" sheetId="4" state="visible" r:id="rId4"/>
    <sheet xmlns:r="http://schemas.openxmlformats.org/officeDocument/2006/relationships" name="Summary" sheetId="5" state="visible" r:id="rId5"/>
    <sheet xmlns:r="http://schemas.openxmlformats.org/officeDocument/2006/relationships" name="Defect Log" sheetId="6" state="visible" r:id="rId6"/>
    <sheet xmlns:r="http://schemas.openxmlformats.org/officeDocument/2006/relationships" name="Sign-off" sheetId="7" state="visible" r:id="rId7"/>
  </sheets>
  <definedNames>
    <definedName name="_xlnm._FilterDatabase" localSheetId="2" hidden="1">'EXE Checklist'!$A$4:$J$212</definedName>
    <definedName name="_xlnm._FilterDatabase" localSheetId="3" hidden="1">'Android (KRP)'!$A$4:$K$45</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1F3864"/>
      <sz val="18"/>
    </font>
    <font>
      <i val="1"/>
      <color rgb="00595959"/>
      <sz val="11"/>
    </font>
    <font>
      <b val="1"/>
      <color rgb="001F3864"/>
      <sz val="10"/>
    </font>
    <font>
      <sz val="10"/>
    </font>
    <font>
      <b val="1"/>
      <color rgb="001F3864"/>
      <sz val="12"/>
    </font>
    <font>
      <name val="Consolas"/>
      <b val="1"/>
      <sz val="10"/>
    </font>
    <font>
      <b val="1"/>
      <color rgb="001F3864"/>
      <sz val="16"/>
    </font>
    <font>
      <i val="1"/>
      <color rgb="00595959"/>
      <sz val="10"/>
    </font>
    <font>
      <b val="1"/>
      <color rgb="00FFFFFF"/>
    </font>
    <font>
      <b val="1"/>
      <sz val="10"/>
    </font>
    <font>
      <b val="1"/>
      <color rgb="00FFFFFF"/>
      <sz val="10"/>
    </font>
    <font>
      <b val="1"/>
      <color rgb="00FFFFFF"/>
      <sz val="11"/>
    </font>
    <font>
      <b val="1"/>
      <color rgb="009C0006"/>
    </font>
    <font>
      <b val="1"/>
      <color rgb="001F3864"/>
      <sz val="11"/>
    </font>
    <font>
      <b val="1"/>
      <sz val="11"/>
    </font>
    <font>
      <color rgb="00808080"/>
      <sz val="10"/>
    </font>
  </fonts>
  <fills count="6">
    <fill>
      <patternFill/>
    </fill>
    <fill>
      <patternFill patternType="gray125"/>
    </fill>
    <fill>
      <patternFill patternType="solid">
        <fgColor rgb="001F3864"/>
      </patternFill>
    </fill>
    <fill>
      <patternFill patternType="solid">
        <fgColor rgb="00DCE6F1"/>
      </patternFill>
    </fill>
    <fill>
      <patternFill patternType="solid">
        <fgColor rgb="002E5C8A"/>
      </patternFill>
    </fill>
    <fill>
      <patternFill patternType="solid">
        <fgColor rgb="00F2F6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4"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xf>
    <xf numFmtId="0" fontId="4" fillId="0" borderId="1" applyAlignment="1" pivotButton="0" quotePrefix="0" xfId="0">
      <alignment vertical="center" wrapText="1"/>
    </xf>
    <xf numFmtId="0" fontId="0" fillId="3" borderId="1" pivotButton="0" quotePrefix="0" xfId="0"/>
    <xf numFmtId="0" fontId="10" fillId="0" borderId="0" pivotButton="0" quotePrefix="0" xfId="0"/>
    <xf numFmtId="0" fontId="4" fillId="0" borderId="0" applyAlignment="1" pivotButton="0" quotePrefix="0" xfId="0">
      <alignment wrapText="1"/>
    </xf>
    <xf numFmtId="0" fontId="7" fillId="0" borderId="0" applyAlignment="1" pivotButton="0" quotePrefix="0" xfId="0">
      <alignment vertical="center"/>
    </xf>
    <xf numFmtId="0" fontId="11" fillId="2" borderId="1" applyAlignment="1" pivotButton="0" quotePrefix="0" xfId="0">
      <alignment horizontal="center" vertical="center" wrapText="1"/>
    </xf>
    <xf numFmtId="0" fontId="12" fillId="4" borderId="0" applyAlignment="1" pivotButton="0" quotePrefix="0" xfId="0">
      <alignment vertical="center"/>
    </xf>
    <xf numFmtId="0" fontId="6" fillId="5"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6"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13" fillId="0" borderId="1" applyAlignment="1" pivotButton="0" quotePrefix="0" xfId="0">
      <alignment horizontal="center" vertical="top"/>
    </xf>
    <xf numFmtId="0" fontId="13" fillId="5" borderId="1" applyAlignment="1" pivotButton="0" quotePrefix="0" xfId="0">
      <alignment horizontal="center" vertical="top"/>
    </xf>
    <xf numFmtId="0" fontId="4" fillId="0" borderId="1" pivotButton="0" quotePrefix="0" xfId="0"/>
    <xf numFmtId="0" fontId="0" fillId="0" borderId="1" applyAlignment="1" pivotButton="0" quotePrefix="0" xfId="0">
      <alignment horizontal="center"/>
    </xf>
    <xf numFmtId="0" fontId="13" fillId="0" borderId="1" applyAlignment="1" pivotButton="0" quotePrefix="0" xfId="0">
      <alignment horizontal="center"/>
    </xf>
    <xf numFmtId="0" fontId="9" fillId="2" borderId="1" pivotButton="0" quotePrefix="0" xfId="0"/>
    <xf numFmtId="0" fontId="14" fillId="0" borderId="0" pivotButton="0" quotePrefix="0" xfId="0"/>
    <xf numFmtId="0" fontId="15" fillId="0" borderId="1" applyAlignment="1" pivotButton="0" quotePrefix="0" xfId="0">
      <alignment horizontal="center"/>
    </xf>
    <xf numFmtId="0" fontId="0" fillId="0" borderId="0" applyAlignment="1" pivotButton="0" quotePrefix="0" xfId="0">
      <alignment horizontal="right"/>
    </xf>
    <xf numFmtId="0" fontId="16" fillId="0" borderId="1" applyAlignment="1" pivotButton="0" quotePrefix="0" xfId="0">
      <alignment vertical="top"/>
    </xf>
    <xf numFmtId="0" fontId="10" fillId="0" borderId="1" pivotButton="0" quotePrefix="0" xfId="0"/>
    <xf numFmtId="0" fontId="0" fillId="0" borderId="1" pivotButton="0" quotePrefix="0" xfId="0"/>
  </cellXfs>
  <cellStyles count="1">
    <cellStyle name="Normal" xfId="0" builtinId="0" hidden="0"/>
  </cellStyles>
  <dxfs count="4">
    <dxf>
      <font>
        <b val="1"/>
        <color rgb="00006100"/>
      </font>
      <fill>
        <patternFill patternType="solid">
          <bgColor rgb="00C6EFCE"/>
        </patternFill>
      </fill>
    </dxf>
    <dxf>
      <font>
        <b val="1"/>
        <color rgb="009C0006"/>
      </font>
      <fill>
        <patternFill patternType="solid">
          <bgColor rgb="00FFC7CE"/>
        </patternFill>
      </fill>
    </dxf>
    <dxf>
      <font>
        <b val="1"/>
        <color rgb="00595959"/>
      </font>
      <fill>
        <patternFill patternType="solid">
          <bgColor rgb="00E7E6E6"/>
        </patternFill>
      </fill>
    </dxf>
    <dxf>
      <font>
        <b val="1"/>
        <color rgb="007F6000"/>
      </font>
      <fill>
        <patternFill patternType="solid">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0"/>
  <sheetViews>
    <sheetView workbookViewId="0">
      <selection activeCell="A1" sqref="A1"/>
    </sheetView>
  </sheetViews>
  <sheetFormatPr baseColWidth="8" defaultRowHeight="15"/>
  <cols>
    <col width="3" customWidth="1" min="1" max="1"/>
    <col width="26" customWidth="1" min="2" max="2"/>
    <col width="104" customWidth="1" min="3" max="3"/>
  </cols>
  <sheetData>
    <row r="2">
      <c r="B2" s="1" t="inlineStr">
        <is>
          <t>CardioX — EXE Release Verification</t>
        </is>
      </c>
    </row>
    <row r="3">
      <c r="B3" s="2" t="inlineStr">
        <is>
          <t>Acceptance test workbook for the packaged executable and installer</t>
        </is>
      </c>
    </row>
    <row r="5" ht="30" customHeight="1">
      <c r="B5" s="3" t="inlineStr">
        <is>
          <t>How to use</t>
        </is>
      </c>
      <c r="C5" s="4" t="inlineStr">
        <is>
          <t>Work through the 'EXE Checklist' sheet top to bottom. Set a Result on every row. The Summary sheet totals itself as you go.</t>
        </is>
      </c>
    </row>
    <row r="6" ht="30" customHeight="1">
      <c r="B6" s="3" t="inlineStr">
        <is>
          <t>Result values</t>
        </is>
      </c>
      <c r="C6" s="4" t="inlineStr">
        <is>
          <t>PASS · FAIL · N/A · BLOCKED — pick from the dropdown in the Result column. Cells colour themselves.</t>
        </is>
      </c>
    </row>
    <row r="7" ht="30" customHeight="1">
      <c r="B7" s="3" t="inlineStr">
        <is>
          <t>Blocking layers</t>
        </is>
      </c>
      <c r="C7" s="4" t="inlineStr">
        <is>
          <t>AUT, BLD, INS, LNC, LIC and SEC must be 100% PASS. No exceptions — these are ship-stopping.</t>
        </is>
      </c>
    </row>
    <row r="8" ht="30" customHeight="1">
      <c r="B8" s="3" t="inlineStr">
        <is>
          <t>Order matters</t>
        </is>
      </c>
      <c r="C8" s="4" t="inlineStr">
        <is>
          <t>Later sections assume earlier ones passed. Do not skip ahead.</t>
        </is>
      </c>
    </row>
    <row r="9" ht="30" customHeight="1">
      <c r="B9" s="3" t="inlineStr">
        <is>
          <t>Before you start</t>
        </is>
      </c>
      <c r="C9" s="4" t="inlineStr">
        <is>
          <t>Fill in the Environment sheet, and reset the machine: uninstall CardioX and delete %LOCALAPPDATA%\Deckmount\CardioX.</t>
        </is>
      </c>
    </row>
    <row r="10" ht="30" customHeight="1">
      <c r="B10" s="3" t="inlineStr">
        <is>
          <t>Failures</t>
        </is>
      </c>
      <c r="C10" s="4" t="inlineStr">
        <is>
          <t>Log every FAIL on the Defect Log sheet and put its number in the Defect # column.</t>
        </is>
      </c>
    </row>
    <row r="11" ht="30" customHeight="1">
      <c r="B11" s="3" t="inlineStr">
        <is>
          <t>Android</t>
        </is>
      </c>
      <c r="C11" s="4" t="inlineStr">
        <is>
          <t>The 'Android (KRP)' sheet covers ReportScreen.kt — the Android report screen and PDF export. It is tested separately from the desktop EXE.</t>
        </is>
      </c>
    </row>
    <row r="12" ht="30" customHeight="1">
      <c r="B12" s="3" t="inlineStr">
        <is>
          <t>Source of truth</t>
        </is>
      </c>
      <c r="C12" s="4" t="inlineStr">
        <is>
          <t>Generated from docs/EXE_TEST_CHECKLIST.md and docs/ReportScreen_kt.md. Edit the markdown, then re-run docs/generate_checklist_docs.py.</t>
        </is>
      </c>
    </row>
    <row r="14">
      <c r="B14" s="5" t="inlineStr">
        <is>
          <t>Sheets</t>
        </is>
      </c>
    </row>
    <row r="15">
      <c r="B15" s="6" t="inlineStr">
        <is>
          <t>Environment</t>
        </is>
      </c>
      <c r="C15" s="7" t="inlineStr">
        <is>
          <t>Machine, build and tester details — fill in first</t>
        </is>
      </c>
    </row>
    <row r="16">
      <c r="B16" s="6" t="inlineStr">
        <is>
          <t>EXE Checklist</t>
        </is>
      </c>
      <c r="C16" s="7" t="inlineStr">
        <is>
          <t>189 checks across the desktop release</t>
        </is>
      </c>
    </row>
    <row r="17">
      <c r="B17" s="6" t="inlineStr">
        <is>
          <t>Android (KRP)</t>
        </is>
      </c>
      <c r="C17" s="7" t="inlineStr">
        <is>
          <t>40 checks for ReportScreen.kt</t>
        </is>
      </c>
    </row>
    <row r="18">
      <c r="B18" s="6" t="inlineStr">
        <is>
          <t>Summary</t>
        </is>
      </c>
      <c r="C18" s="7" t="inlineStr">
        <is>
          <t>Live per-layer PASS/FAIL totals and the release verdict</t>
        </is>
      </c>
    </row>
    <row r="19">
      <c r="B19" s="6" t="inlineStr">
        <is>
          <t>Defect Log</t>
        </is>
      </c>
      <c r="C19" s="7" t="inlineStr">
        <is>
          <t>One row per failure</t>
        </is>
      </c>
    </row>
    <row r="20">
      <c r="B20" s="6" t="inlineStr">
        <is>
          <t>Sign-off</t>
        </is>
      </c>
      <c r="C20" s="7" t="inlineStr">
        <is>
          <t>Approval signatures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4"/>
  <sheetViews>
    <sheetView workbookViewId="0">
      <selection activeCell="A1" sqref="A1"/>
    </sheetView>
  </sheetViews>
  <sheetFormatPr baseColWidth="8" defaultRowHeight="15"/>
  <cols>
    <col width="3" customWidth="1" min="1" max="1"/>
    <col width="44" customWidth="1" min="2" max="2"/>
    <col width="60" customWidth="1" min="3" max="3"/>
  </cols>
  <sheetData>
    <row r="2">
      <c r="B2" s="8" t="inlineStr">
        <is>
          <t>Test environment</t>
        </is>
      </c>
    </row>
    <row r="3">
      <c r="B3" s="9" t="inlineStr">
        <is>
          <t>A checklist result is meaningless without this.</t>
        </is>
      </c>
    </row>
    <row r="5">
      <c r="B5" s="10" t="inlineStr">
        <is>
          <t>Field</t>
        </is>
      </c>
      <c r="C5" s="10" t="inlineStr">
        <is>
          <t>Value</t>
        </is>
      </c>
    </row>
    <row r="6" ht="20" customHeight="1">
      <c r="B6" s="11" t="inlineStr">
        <is>
          <t>Build version (src/version.py → APP_VERSION)</t>
        </is>
      </c>
      <c r="C6" s="12" t="n"/>
    </row>
    <row r="7" ht="20" customHeight="1">
      <c r="B7" s="11" t="inlineStr">
        <is>
          <t>Update channel</t>
        </is>
      </c>
      <c r="C7" s="12" t="n"/>
    </row>
    <row r="8" ht="20" customHeight="1">
      <c r="B8" s="11" t="inlineStr">
        <is>
          <t>Installer filename</t>
        </is>
      </c>
      <c r="C8" s="12" t="n"/>
    </row>
    <row r="9" ht="20" customHeight="1">
      <c r="B9" s="11" t="inlineStr">
        <is>
          <t>Installer SHA-256</t>
        </is>
      </c>
      <c r="C9" s="12" t="n"/>
    </row>
    <row r="10" ht="20" customHeight="1">
      <c r="B10" s="11" t="inlineStr">
        <is>
          <t>Build machine OS / Python version</t>
        </is>
      </c>
      <c r="C10" s="12" t="n"/>
    </row>
    <row r="11" ht="20" customHeight="1">
      <c r="B11" s="11" t="inlineStr">
        <is>
          <t>Test machine OS / build</t>
        </is>
      </c>
      <c r="C11" s="12" t="n"/>
    </row>
    <row r="12" ht="20" customHeight="1">
      <c r="B12" s="11" t="inlineStr">
        <is>
          <t>RAM / CPU / logical threads</t>
        </is>
      </c>
      <c r="C12" s="12" t="n"/>
    </row>
    <row r="13" ht="20" customHeight="1">
      <c r="B13" s="11" t="inlineStr">
        <is>
          <t>Environment matrix row (A minimum / B typical / C fresh)</t>
        </is>
      </c>
      <c r="C13" s="12" t="n"/>
    </row>
    <row r="14" ht="20" customHeight="1">
      <c r="B14" s="11" t="inlineStr">
        <is>
          <t>RhythmUltra serial under test</t>
        </is>
      </c>
      <c r="C14" s="12" t="n"/>
    </row>
    <row r="15" ht="20" customHeight="1">
      <c r="B15" s="11" t="inlineStr">
        <is>
          <t>Licence server URL baked into .env</t>
        </is>
      </c>
      <c r="C15" s="12" t="n"/>
    </row>
    <row r="16" ht="20" customHeight="1">
      <c r="B16" s="11" t="inlineStr">
        <is>
          <t>Tester name</t>
        </is>
      </c>
      <c r="C16" s="12" t="n"/>
    </row>
    <row r="17" ht="20" customHeight="1">
      <c r="B17" s="11" t="inlineStr">
        <is>
          <t>Date started</t>
        </is>
      </c>
      <c r="C17" s="12" t="n"/>
    </row>
    <row r="18" ht="20" customHeight="1">
      <c r="B18" s="11" t="inlineStr">
        <is>
          <t>Date completed</t>
        </is>
      </c>
      <c r="C18" s="12" t="n"/>
    </row>
    <row r="21">
      <c r="B21" s="5" t="inlineStr">
        <is>
          <t>Environment matrix</t>
        </is>
      </c>
    </row>
    <row r="22">
      <c r="B22" s="13" t="inlineStr">
        <is>
          <t>A — Minimum</t>
        </is>
      </c>
      <c r="C22" s="14" t="inlineStr">
        <is>
          <t>&lt;=8 GB RAM, i3 / &lt;=4 logical threads — triggers is_low_spec_mode()</t>
        </is>
      </c>
    </row>
    <row r="23">
      <c r="B23" s="13" t="inlineStr">
        <is>
          <t>B — Typical</t>
        </is>
      </c>
      <c r="C23" s="14" t="inlineStr">
        <is>
          <t>16 GB RAM, i5/i7, integrated GPU — the mainstream clinic machine</t>
        </is>
      </c>
    </row>
    <row r="24">
      <c r="B24" s="13" t="inlineStr">
        <is>
          <t>C — Fresh Windows</t>
        </is>
      </c>
      <c r="C24" s="14" t="inlineStr">
        <is>
          <t>No Python, no MSVC redistributables — proves the bundle is 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2"/>
  <sheetViews>
    <sheetView zoomScale="100" workbookViewId="0">
      <pane ySplit="4" topLeftCell="A5" activePane="bottomLeft" state="frozen"/>
      <selection pane="bottomLeft" activeCell="A1" sqref="A1"/>
    </sheetView>
  </sheetViews>
  <sheetFormatPr baseColWidth="8" defaultRowHeight="15"/>
  <cols>
    <col width="11" customWidth="1" min="1" max="1"/>
    <col width="22" customWidth="1" min="2" max="2"/>
    <col width="10" customWidth="1" min="3" max="3"/>
    <col width="46" customWidth="1" min="4" max="4"/>
    <col width="74" customWidth="1" min="5" max="5"/>
    <col width="11" customWidth="1" min="6" max="6"/>
    <col width="14" customWidth="1" min="7" max="7"/>
    <col width="12" customWidth="1" min="8" max="8"/>
    <col width="10" customWidth="1" min="9" max="9"/>
    <col width="30" customWidth="1" min="10" max="10"/>
  </cols>
  <sheetData>
    <row r="1" ht="26" customHeight="1">
      <c r="A1" s="15" t="inlineStr">
        <is>
          <t>CardioX EXE — release verification</t>
        </is>
      </c>
    </row>
    <row r="2">
      <c r="A2" s="9" t="inlineStr">
        <is>
          <t>Set a Result on every row. Blocking layers must be 100% PASS.</t>
        </is>
      </c>
    </row>
    <row r="4" ht="28" customHeight="1">
      <c r="A4" s="16" t="inlineStr">
        <is>
          <t>ID</t>
        </is>
      </c>
      <c r="B4" s="16" t="inlineStr">
        <is>
          <t>Layer</t>
        </is>
      </c>
      <c r="C4" s="16" t="inlineStr">
        <is>
          <t>Blocking</t>
        </is>
      </c>
      <c r="D4" s="16" t="inlineStr">
        <is>
          <t>Check</t>
        </is>
      </c>
      <c r="E4" s="16" t="inlineStr">
        <is>
          <t>Detail / expected result</t>
        </is>
      </c>
      <c r="F4" s="16" t="inlineStr">
        <is>
          <t>Result</t>
        </is>
      </c>
      <c r="G4" s="16" t="inlineStr">
        <is>
          <t>Tester</t>
        </is>
      </c>
      <c r="H4" s="16" t="inlineStr">
        <is>
          <t>Date</t>
        </is>
      </c>
      <c r="I4" s="16" t="inlineStr">
        <is>
          <t>Defect #</t>
        </is>
      </c>
      <c r="J4" s="16" t="inlineStr">
        <is>
          <t>Notes</t>
        </is>
      </c>
    </row>
    <row r="5" ht="20" customHeight="1">
      <c r="A5" s="17" t="inlineStr">
        <is>
          <t xml:space="preserve">  Test environment preparation</t>
        </is>
      </c>
    </row>
    <row r="6">
      <c r="A6" s="18" t="inlineStr">
        <is>
          <t>PREP-01</t>
        </is>
      </c>
      <c r="B6" s="19" t="inlineStr">
        <is>
          <t>Test environment preparation</t>
        </is>
      </c>
      <c r="C6" s="19" t="inlineStr"/>
      <c r="D6" s="20" t="inlineStr">
        <is>
          <t>Uninstall any existing CardioX (Settings → Apps, or {app}\unins000.exe)</t>
        </is>
      </c>
      <c r="E6" s="20" t="inlineStr"/>
      <c r="F6" s="20" t="inlineStr"/>
      <c r="G6" s="20" t="inlineStr"/>
      <c r="H6" s="20" t="inlineStr"/>
      <c r="I6" s="20" t="inlineStr"/>
      <c r="J6" s="20" t="inlineStr"/>
    </row>
    <row r="7">
      <c r="A7" s="21" t="inlineStr">
        <is>
          <t>PREP-02</t>
        </is>
      </c>
      <c r="B7" s="22" t="inlineStr">
        <is>
          <t>Test environment preparation</t>
        </is>
      </c>
      <c r="C7" s="22" t="inlineStr"/>
      <c r="D7" s="23" t="inlineStr">
        <is>
          <t>Delete the runtime workspace %LOCALAPPDATA%\Deckmount\CardioX — this is where runtime_dir() in src/utils/app_paths.py stores the</t>
        </is>
      </c>
      <c r="E7" s="23" t="inlineStr">
        <is>
          <t>licence token, users.json, ecg_settings.json, reports, logs and the offline queue. Leaving it behind hides first-run bugs.</t>
        </is>
      </c>
      <c r="F7" s="23" t="inlineStr"/>
      <c r="G7" s="23" t="inlineStr"/>
      <c r="H7" s="23" t="inlineStr"/>
      <c r="I7" s="23" t="inlineStr"/>
      <c r="J7" s="23" t="inlineStr"/>
    </row>
    <row r="8">
      <c r="A8" s="18" t="inlineStr">
        <is>
          <t>PREP-03</t>
        </is>
      </c>
      <c r="B8" s="19" t="inlineStr">
        <is>
          <t>Test environment preparation</t>
        </is>
      </c>
      <c r="C8" s="19" t="inlineStr"/>
      <c r="D8" s="20" t="inlineStr">
        <is>
          <t>Confirm %ProgramFiles%\CardioX is gone</t>
        </is>
      </c>
      <c r="E8" s="20" t="inlineStr"/>
      <c r="F8" s="20" t="inlineStr"/>
      <c r="G8" s="20" t="inlineStr"/>
      <c r="H8" s="20" t="inlineStr"/>
      <c r="I8" s="20" t="inlineStr"/>
      <c r="J8" s="20" t="inlineStr"/>
    </row>
    <row r="9">
      <c r="A9" s="21" t="inlineStr">
        <is>
          <t>PREP-04</t>
        </is>
      </c>
      <c r="B9" s="22" t="inlineStr">
        <is>
          <t>Test environment preparation</t>
        </is>
      </c>
      <c r="C9" s="22" t="inlineStr"/>
      <c r="D9" s="23" t="inlineStr">
        <is>
          <t>Unplug the RhythmUltra device (device-absent paths are tested first)</t>
        </is>
      </c>
      <c r="E9" s="23" t="inlineStr"/>
      <c r="F9" s="23" t="inlineStr"/>
      <c r="G9" s="23" t="inlineStr"/>
      <c r="H9" s="23" t="inlineStr"/>
      <c r="I9" s="23" t="inlineStr"/>
      <c r="J9" s="23" t="inlineStr"/>
    </row>
    <row r="10" ht="20" customHeight="1">
      <c r="A10" s="17" t="inlineStr">
        <is>
          <t xml:space="preserve">  Automated unit tests</t>
        </is>
      </c>
    </row>
    <row r="11">
      <c r="A11" s="21" t="inlineStr">
        <is>
          <t>AUT-01</t>
        </is>
      </c>
      <c r="B11" s="22" t="inlineStr">
        <is>
          <t>Automated unit tests</t>
        </is>
      </c>
      <c r="C11" s="24" t="inlineStr">
        <is>
          <t>YES</t>
        </is>
      </c>
      <c r="D11" s="23" t="inlineStr">
        <is>
          <t>Full suite green</t>
        </is>
      </c>
      <c r="E11" s="23" t="inlineStr">
        <is>
          <t>Expected: 180 passed, 7 subtests passed and exit code 0. (Verified on 2026-08-18: 180 passed in 55.33 s.)</t>
        </is>
      </c>
      <c r="F11" s="23" t="inlineStr"/>
      <c r="G11" s="23" t="inlineStr"/>
      <c r="H11" s="23" t="inlineStr"/>
      <c r="I11" s="23" t="inlineStr"/>
      <c r="J11" s="23" t="inlineStr"/>
    </row>
    <row r="12">
      <c r="A12" s="18" t="inlineStr">
        <is>
          <t>AUT-02</t>
        </is>
      </c>
      <c r="B12" s="19" t="inlineStr">
        <is>
          <t>Automated unit tests</t>
        </is>
      </c>
      <c r="C12" s="25" t="inlineStr">
        <is>
          <t>YES</t>
        </is>
      </c>
      <c r="D12" s="20" t="inlineStr">
        <is>
          <t>python -m pytest tests/test_cardiox_prod.py -q → 76 passed</t>
        </is>
      </c>
      <c r="E12" s="20" t="inlineStr"/>
      <c r="F12" s="20" t="inlineStr"/>
      <c r="G12" s="20" t="inlineStr"/>
      <c r="H12" s="20" t="inlineStr"/>
      <c r="I12" s="20" t="inlineStr"/>
      <c r="J12" s="20" t="inlineStr"/>
    </row>
    <row r="13">
      <c r="A13" s="21" t="inlineStr">
        <is>
          <t>AUT-03</t>
        </is>
      </c>
      <c r="B13" s="22" t="inlineStr">
        <is>
          <t>Automated unit tests</t>
        </is>
      </c>
      <c r="C13" s="24" t="inlineStr">
        <is>
          <t>YES</t>
        </is>
      </c>
      <c r="D13" s="23" t="inlineStr">
        <is>
          <t>python -m pytest tests/test_history_and_hyperkalemia.py -q → 104 passed</t>
        </is>
      </c>
      <c r="E13" s="23" t="inlineStr"/>
      <c r="F13" s="23" t="inlineStr"/>
      <c r="G13" s="23" t="inlineStr"/>
      <c r="H13" s="23" t="inlineStr"/>
      <c r="I13" s="23" t="inlineStr"/>
      <c r="J13" s="23" t="inlineStr"/>
    </row>
    <row r="14">
      <c r="A14" s="18" t="inlineStr">
        <is>
          <t>AUT-04</t>
        </is>
      </c>
      <c r="B14" s="19" t="inlineStr">
        <is>
          <t>Automated unit tests</t>
        </is>
      </c>
      <c r="C14" s="25" t="inlineStr">
        <is>
          <t>YES</t>
        </is>
      </c>
      <c r="D14" s="20" t="inlineStr">
        <is>
          <t>Suite completes with no display server, no RhythmUltra attached and no network — headless is a hard requirement, because CI has</t>
        </is>
      </c>
      <c r="E14" s="20" t="inlineStr">
        <is>
          <t>none of the three.</t>
        </is>
      </c>
      <c r="F14" s="20" t="inlineStr"/>
      <c r="G14" s="20" t="inlineStr"/>
      <c r="H14" s="20" t="inlineStr"/>
      <c r="I14" s="20" t="inlineStr"/>
      <c r="J14" s="20" t="inlineStr"/>
    </row>
    <row r="15" ht="20" customHeight="1">
      <c r="A15" s="17" t="inlineStr">
        <is>
          <t xml:space="preserve">  Build verification</t>
        </is>
      </c>
    </row>
    <row r="16">
      <c r="A16" s="18" t="inlineStr">
        <is>
          <t>BLD-01</t>
        </is>
      </c>
      <c r="B16" s="19" t="inlineStr">
        <is>
          <t>Build verification</t>
        </is>
      </c>
      <c r="C16" s="25" t="inlineStr">
        <is>
          <t>YES</t>
        </is>
      </c>
      <c r="D16" s="20" t="inlineStr">
        <is>
          <t>build_release.ps1 regenerates src/version.py with the requested APP_VERSION, UPDATE_CHANNEL and GITHUB_REPOSITORY before</t>
        </is>
      </c>
      <c r="E16" s="20" t="inlineStr">
        <is>
          <t>compiling.</t>
        </is>
      </c>
      <c r="F16" s="20" t="inlineStr"/>
      <c r="G16" s="20" t="inlineStr"/>
      <c r="H16" s="20" t="inlineStr"/>
      <c r="I16" s="20" t="inlineStr"/>
      <c r="J16" s="20" t="inlineStr"/>
    </row>
    <row r="17">
      <c r="A17" s="21" t="inlineStr">
        <is>
          <t>BLD-02</t>
        </is>
      </c>
      <c r="B17" s="22" t="inlineStr">
        <is>
          <t>Build verification</t>
        </is>
      </c>
      <c r="C17" s="24" t="inlineStr">
        <is>
          <t>YES</t>
        </is>
      </c>
      <c r="D17" s="23" t="inlineStr">
        <is>
          <t>PyInstaller stage exits 0</t>
        </is>
      </c>
      <c r="E17" s="23" t="inlineStr">
        <is>
          <t>Any non-zero exit throws "EXE build failed" and must stop the release.</t>
        </is>
      </c>
      <c r="F17" s="23" t="inlineStr"/>
      <c r="G17" s="23" t="inlineStr"/>
      <c r="H17" s="23" t="inlineStr"/>
      <c r="I17" s="23" t="inlineStr"/>
      <c r="J17" s="23" t="inlineStr"/>
    </row>
    <row r="18">
      <c r="A18" s="18" t="inlineStr">
        <is>
          <t>BLD-03</t>
        </is>
      </c>
      <c r="B18" s="19" t="inlineStr">
        <is>
          <t>Build verification</t>
        </is>
      </c>
      <c r="C18" s="25" t="inlineStr">
        <is>
          <t>YES</t>
        </is>
      </c>
      <c r="D18" s="20" t="inlineStr">
        <is>
          <t>Secret gate holds</t>
        </is>
      </c>
      <c r="E18" s="20" t="inlineStr">
        <is>
          <t>_stage_env_for_distribution() in build_exe.py must not print a refusal. Deliberately prove the gate is live: add TEST_SECRET_KEY=abc to .env, rebuild, and confirm the build aborts with "REFUSING TO BUILD — unvetted secret(s) would ship inside the installer". Remove the line and rebuild before continuing.</t>
        </is>
      </c>
      <c r="F18" s="20" t="inlineStr"/>
      <c r="G18" s="20" t="inlineStr"/>
      <c r="H18" s="20" t="inlineStr"/>
      <c r="I18" s="20" t="inlineStr"/>
      <c r="J18" s="20" t="inlineStr"/>
    </row>
    <row r="19">
      <c r="A19" s="21" t="inlineStr">
        <is>
          <t>BLD-04</t>
        </is>
      </c>
      <c r="B19" s="22" t="inlineStr">
        <is>
          <t>Build verification</t>
        </is>
      </c>
      <c r="C19" s="24" t="inlineStr">
        <is>
          <t>YES</t>
        </is>
      </c>
      <c r="D19" s="23" t="inlineStr">
        <is>
          <t>The staged .env inside dist\CARDIOX\ contains only vetted keys</t>
        </is>
      </c>
      <c r="E19" s="23" t="inlineStr">
        <is>
          <t>Diff it against _DIST_ENV_KNOWN_SHIPPED (build_exe.py:115). Any server-side secret present here is a release blocker.</t>
        </is>
      </c>
      <c r="F19" s="23" t="inlineStr"/>
      <c r="G19" s="23" t="inlineStr"/>
      <c r="H19" s="23" t="inlineStr"/>
      <c r="I19" s="23" t="inlineStr"/>
      <c r="J19" s="23" t="inlineStr"/>
    </row>
    <row r="20">
      <c r="A20" s="18" t="inlineStr">
        <is>
          <t>BLD-05</t>
        </is>
      </c>
      <c r="B20" s="19" t="inlineStr">
        <is>
          <t>Build verification</t>
        </is>
      </c>
      <c r="C20" s="25" t="inlineStr">
        <is>
          <t>YES</t>
        </is>
      </c>
      <c r="D20" s="20" t="inlineStr">
        <is>
          <t>LICENSE_SERVER_URL in the staged .env points at the production gateway, not localhost</t>
        </is>
      </c>
      <c r="E20" s="20" t="inlineStr">
        <is>
          <t>Overridable at build time via BUILD_LICENSE_SERVER_URL.</t>
        </is>
      </c>
      <c r="F20" s="20" t="inlineStr"/>
      <c r="G20" s="20" t="inlineStr"/>
      <c r="H20" s="20" t="inlineStr"/>
      <c r="I20" s="20" t="inlineStr"/>
      <c r="J20" s="20" t="inlineStr"/>
    </row>
    <row r="21">
      <c r="A21" s="21" t="inlineStr">
        <is>
          <t>BLD-06</t>
        </is>
      </c>
      <c r="B21" s="22" t="inlineStr">
        <is>
          <t>Build verification</t>
        </is>
      </c>
      <c r="C21" s="24" t="inlineStr">
        <is>
          <t>YES</t>
        </is>
      </c>
      <c r="D21" s="23" t="inlineStr">
        <is>
          <t>dist\CARDIOX\CARDIOX.exe exists, is --windowed (no console window on launch) and carries the multi-resolution icon from</t>
        </is>
      </c>
      <c r="E21" s="23" t="inlineStr">
        <is>
          <t>assets/cardiox_logo.ico.</t>
        </is>
      </c>
      <c r="F21" s="23" t="inlineStr"/>
      <c r="G21" s="23" t="inlineStr"/>
      <c r="H21" s="23" t="inlineStr"/>
      <c r="I21" s="23" t="inlineStr"/>
      <c r="J21" s="23" t="inlineStr"/>
    </row>
    <row r="22">
      <c r="A22" s="18" t="inlineStr">
        <is>
          <t>BLD-07</t>
        </is>
      </c>
      <c r="B22" s="19" t="inlineStr">
        <is>
          <t>Build verification</t>
        </is>
      </c>
      <c r="C22" s="25" t="inlineStr">
        <is>
          <t>YES</t>
        </is>
      </c>
      <c r="D22" s="20" t="inlineStr">
        <is>
          <t>File properties → Details shows the expected version string</t>
        </is>
      </c>
      <c r="E22" s="20" t="inlineStr"/>
      <c r="F22" s="20" t="inlineStr"/>
      <c r="G22" s="20" t="inlineStr"/>
      <c r="H22" s="20" t="inlineStr"/>
      <c r="I22" s="20" t="inlineStr"/>
      <c r="J22" s="20" t="inlineStr"/>
    </row>
    <row r="23">
      <c r="A23" s="21" t="inlineStr">
        <is>
          <t>BLD-08</t>
        </is>
      </c>
      <c r="B23" s="22" t="inlineStr">
        <is>
          <t>Build verification</t>
        </is>
      </c>
      <c r="C23" s="24" t="inlineStr">
        <is>
          <t>YES</t>
        </is>
      </c>
      <c r="D23" s="23" t="inlineStr">
        <is>
          <t>Bundled data present under dist\CARDIOX\_internal\:</t>
        </is>
      </c>
      <c r="E23" s="23" t="inlineStr">
        <is>
          <t>assets\, config\ (must contain clinical_config.yaml). Why: without PyYAML + clinical_config.yaml the frozen app silently falls back to Python defaults and every arrhythmia reads "Rhythm Undetermined" — see the comment at build_exe.py:345.</t>
        </is>
      </c>
      <c r="F23" s="23" t="inlineStr"/>
      <c r="G23" s="23" t="inlineStr"/>
      <c r="H23" s="23" t="inlineStr"/>
      <c r="I23" s="23" t="inlineStr"/>
      <c r="J23" s="23" t="inlineStr"/>
    </row>
    <row r="24">
      <c r="A24" s="18" t="inlineStr">
        <is>
          <t>BLD-09</t>
        </is>
      </c>
      <c r="B24" s="19" t="inlineStr">
        <is>
          <t>Build verification</t>
        </is>
      </c>
      <c r="C24" s="25" t="inlineStr">
        <is>
          <t>YES</t>
        </is>
      </c>
      <c r="D24" s="20" t="inlineStr">
        <is>
          <t>No stale spec used:</t>
        </is>
      </c>
      <c r="E24" s="20" t="inlineStr">
        <is>
          <t>the spec is written to build\, not the repo root (--specpath=build). Confirm build\CARDIOX.spec has this run's timestamp.</t>
        </is>
      </c>
      <c r="F24" s="20" t="inlineStr"/>
      <c r="G24" s="20" t="inlineStr"/>
      <c r="H24" s="20" t="inlineStr"/>
      <c r="I24" s="20" t="inlineStr"/>
      <c r="J24" s="20" t="inlineStr"/>
    </row>
    <row r="25">
      <c r="A25" s="21" t="inlineStr">
        <is>
          <t>BLD-10</t>
        </is>
      </c>
      <c r="B25" s="22" t="inlineStr">
        <is>
          <t>Build verification</t>
        </is>
      </c>
      <c r="C25" s="24" t="inlineStr">
        <is>
          <t>YES</t>
        </is>
      </c>
      <c r="D25" s="23" t="inlineStr">
        <is>
          <t>Excluded frameworks really are absent from _internal:</t>
        </is>
      </c>
      <c r="E25" s="23" t="inlineStr">
        <is>
          <t>PyQt6, PySide2, PySide6, notebook, IPython, jinja2.</t>
        </is>
      </c>
      <c r="F25" s="23" t="inlineStr"/>
      <c r="G25" s="23" t="inlineStr"/>
      <c r="H25" s="23" t="inlineStr"/>
      <c r="I25" s="23" t="inlineStr"/>
      <c r="J25" s="23" t="inlineStr"/>
    </row>
    <row r="26">
      <c r="A26" s="18" t="inlineStr">
        <is>
          <t>BLD-11</t>
        </is>
      </c>
      <c r="B26" s="19" t="inlineStr">
        <is>
          <t>Build verification</t>
        </is>
      </c>
      <c r="C26" s="25" t="inlineStr">
        <is>
          <t>YES</t>
        </is>
      </c>
      <c r="D26" s="20" t="inlineStr">
        <is>
          <t>Inno Setup stage produces dist\installers\Setup_CARDIOX_&lt;version&gt;.exe</t>
        </is>
      </c>
      <c r="E26" s="20" t="inlineStr">
        <is>
          <t>A missing ISCC.exe prints "Setup build could not be completed" — install Inno Setup 6 and rerun.</t>
        </is>
      </c>
      <c r="F26" s="20" t="inlineStr"/>
      <c r="G26" s="20" t="inlineStr"/>
      <c r="H26" s="20" t="inlineStr"/>
      <c r="I26" s="20" t="inlineStr"/>
      <c r="J26" s="20" t="inlineStr"/>
    </row>
    <row r="27">
      <c r="A27" s="21" t="inlineStr">
        <is>
          <t>BLD-12</t>
        </is>
      </c>
      <c r="B27" s="22" t="inlineStr">
        <is>
          <t>Build verification</t>
        </is>
      </c>
      <c r="C27" s="24" t="inlineStr">
        <is>
          <t>YES</t>
        </is>
      </c>
      <c r="D27" s="23" t="inlineStr">
        <is>
          <t>Record the installer SHA-256 in §2</t>
        </is>
      </c>
      <c r="E27" s="23" t="inlineStr"/>
      <c r="F27" s="23" t="inlineStr"/>
      <c r="G27" s="23" t="inlineStr"/>
      <c r="H27" s="23" t="inlineStr"/>
      <c r="I27" s="23" t="inlineStr"/>
      <c r="J27" s="23" t="inlineStr"/>
    </row>
    <row r="28" ht="20" customHeight="1">
      <c r="A28" s="17" t="inlineStr">
        <is>
          <t xml:space="preserve">  Installer</t>
        </is>
      </c>
    </row>
    <row r="29">
      <c r="A29" s="21" t="inlineStr">
        <is>
          <t>INS-01</t>
        </is>
      </c>
      <c r="B29" s="22" t="inlineStr">
        <is>
          <t>Installer</t>
        </is>
      </c>
      <c r="C29" s="24" t="inlineStr">
        <is>
          <t>YES</t>
        </is>
      </c>
      <c r="D29" s="23" t="inlineStr">
        <is>
          <t>Installer requires elevation (PrivilegesRequired=admin) and shows the UAC prompt</t>
        </is>
      </c>
      <c r="E29" s="23" t="inlineStr"/>
      <c r="F29" s="23" t="inlineStr"/>
      <c r="G29" s="23" t="inlineStr"/>
      <c r="H29" s="23" t="inlineStr"/>
      <c r="I29" s="23" t="inlineStr"/>
      <c r="J29" s="23" t="inlineStr"/>
    </row>
    <row r="30">
      <c r="A30" s="18" t="inlineStr">
        <is>
          <t>INS-02</t>
        </is>
      </c>
      <c r="B30" s="19" t="inlineStr">
        <is>
          <t>Installer</t>
        </is>
      </c>
      <c r="C30" s="25" t="inlineStr">
        <is>
          <t>YES</t>
        </is>
      </c>
      <c r="D30" s="20" t="inlineStr">
        <is>
          <t>EULA page displays installer/EULA.txt; declining cancels the install cleanly</t>
        </is>
      </c>
      <c r="E30" s="20" t="inlineStr"/>
      <c r="F30" s="20" t="inlineStr"/>
      <c r="G30" s="20" t="inlineStr"/>
      <c r="H30" s="20" t="inlineStr"/>
      <c r="I30" s="20" t="inlineStr"/>
      <c r="J30" s="20" t="inlineStr"/>
    </row>
    <row r="31">
      <c r="A31" s="21" t="inlineStr">
        <is>
          <t>INS-03</t>
        </is>
      </c>
      <c r="B31" s="22" t="inlineStr">
        <is>
          <t>Installer</t>
        </is>
      </c>
      <c r="C31" s="24" t="inlineStr">
        <is>
          <t>YES</t>
        </is>
      </c>
      <c r="D31" s="23" t="inlineStr">
        <is>
          <t>Default install directory is {autopf}\CardioX (i.e</t>
        </is>
      </c>
      <c r="E31" s="23" t="inlineStr">
        <is>
          <t>C:\Program Files\CardioX).</t>
        </is>
      </c>
      <c r="F31" s="23" t="inlineStr"/>
      <c r="G31" s="23" t="inlineStr"/>
      <c r="H31" s="23" t="inlineStr"/>
      <c r="I31" s="23" t="inlineStr"/>
      <c r="J31" s="23" t="inlineStr"/>
    </row>
    <row r="32">
      <c r="A32" s="18" t="inlineStr">
        <is>
          <t>INS-04</t>
        </is>
      </c>
      <c r="B32" s="19" t="inlineStr">
        <is>
          <t>Installer</t>
        </is>
      </c>
      <c r="C32" s="25" t="inlineStr">
        <is>
          <t>YES</t>
        </is>
      </c>
      <c r="D32" s="20" t="inlineStr">
        <is>
          <t>The whole dist tree is copied recursively — {app}\_internal\ is present, not just the EXE</t>
        </is>
      </c>
      <c r="E32" s="20" t="inlineStr"/>
      <c r="F32" s="20" t="inlineStr"/>
      <c r="G32" s="20" t="inlineStr"/>
      <c r="H32" s="20" t="inlineStr"/>
      <c r="I32" s="20" t="inlineStr"/>
      <c r="J32" s="20" t="inlineStr"/>
    </row>
    <row r="33">
      <c r="A33" s="21" t="inlineStr">
        <is>
          <t>INS-05</t>
        </is>
      </c>
      <c r="B33" s="22" t="inlineStr">
        <is>
          <t>Installer</t>
        </is>
      </c>
      <c r="C33" s="24" t="inlineStr">
        <is>
          <t>YES</t>
        </is>
      </c>
      <c r="D33" s="23" t="inlineStr">
        <is>
          <t>Start Menu group CardioX created with the app entry and Uninstall CardioX</t>
        </is>
      </c>
      <c r="E33" s="23" t="inlineStr"/>
      <c r="F33" s="23" t="inlineStr"/>
      <c r="G33" s="23" t="inlineStr"/>
      <c r="H33" s="23" t="inlineStr"/>
      <c r="I33" s="23" t="inlineStr"/>
      <c r="J33" s="23" t="inlineStr"/>
    </row>
    <row r="34">
      <c r="A34" s="18" t="inlineStr">
        <is>
          <t>INS-06</t>
        </is>
      </c>
      <c r="B34" s="19" t="inlineStr">
        <is>
          <t>Installer</t>
        </is>
      </c>
      <c r="C34" s="25" t="inlineStr">
        <is>
          <t>YES</t>
        </is>
      </c>
      <c r="D34" s="20" t="inlineStr">
        <is>
          <t>Desktop icon created only when the "Create a desktop icon" task is ticked</t>
        </is>
      </c>
      <c r="E34" s="20" t="inlineStr"/>
      <c r="F34" s="20" t="inlineStr"/>
      <c r="G34" s="20" t="inlineStr"/>
      <c r="H34" s="20" t="inlineStr"/>
      <c r="I34" s="20" t="inlineStr"/>
      <c r="J34" s="20" t="inlineStr"/>
    </row>
    <row r="35">
      <c r="A35" s="21" t="inlineStr">
        <is>
          <t>INS-07</t>
        </is>
      </c>
      <c r="B35" s="22" t="inlineStr">
        <is>
          <t>Installer</t>
        </is>
      </c>
      <c r="C35" s="24" t="inlineStr">
        <is>
          <t>YES</t>
        </is>
      </c>
      <c r="D35" s="23" t="inlineStr">
        <is>
          <t>Both shortcuts show the CardioX logo, not a generic or Python icon, and set WorkingDir to {app}</t>
        </is>
      </c>
      <c r="E35" s="23" t="inlineStr"/>
      <c r="F35" s="23" t="inlineStr"/>
      <c r="G35" s="23" t="inlineStr"/>
      <c r="H35" s="23" t="inlineStr"/>
      <c r="I35" s="23" t="inlineStr"/>
      <c r="J35" s="23" t="inlineStr"/>
    </row>
    <row r="36">
      <c r="A36" s="18" t="inlineStr">
        <is>
          <t>INS-08</t>
        </is>
      </c>
      <c r="B36" s="19" t="inlineStr">
        <is>
          <t>Installer</t>
        </is>
      </c>
      <c r="C36" s="25" t="inlineStr">
        <is>
          <t>YES</t>
        </is>
      </c>
      <c r="D36" s="20" t="inlineStr">
        <is>
          <t>The post-install "Launch CardioX" checkbox starts the app successfully</t>
        </is>
      </c>
      <c r="E36" s="20" t="inlineStr"/>
      <c r="F36" s="20" t="inlineStr"/>
      <c r="G36" s="20" t="inlineStr"/>
      <c r="H36" s="20" t="inlineStr"/>
      <c r="I36" s="20" t="inlineStr"/>
      <c r="J36" s="20" t="inlineStr"/>
    </row>
    <row r="37">
      <c r="A37" s="21" t="inlineStr">
        <is>
          <t>INS-09</t>
        </is>
      </c>
      <c r="B37" s="22" t="inlineStr">
        <is>
          <t>Installer</t>
        </is>
      </c>
      <c r="C37" s="24" t="inlineStr">
        <is>
          <t>YES</t>
        </is>
      </c>
      <c r="D37" s="23" t="inlineStr">
        <is>
          <t>Silent install Setup_CARDIOX_&lt;v&gt;.exe /VERYSILENT /NORESTART completes and does not auto-launch (skipifsilent)</t>
        </is>
      </c>
      <c r="E37" s="23" t="inlineStr"/>
      <c r="F37" s="23" t="inlineStr"/>
      <c r="G37" s="23" t="inlineStr"/>
      <c r="H37" s="23" t="inlineStr"/>
      <c r="I37" s="23" t="inlineStr"/>
      <c r="J37" s="23" t="inlineStr"/>
    </row>
    <row r="38">
      <c r="A38" s="18" t="inlineStr">
        <is>
          <t>INS-10</t>
        </is>
      </c>
      <c r="B38" s="19" t="inlineStr">
        <is>
          <t>Installer</t>
        </is>
      </c>
      <c r="C38" s="25" t="inlineStr">
        <is>
          <t>YES</t>
        </is>
      </c>
      <c r="D38" s="20" t="inlineStr">
        <is>
          <t>Re-running the installer over an existing install upgrades in place without orphaning files in _internal</t>
        </is>
      </c>
      <c r="E38" s="20" t="inlineStr"/>
      <c r="F38" s="20" t="inlineStr"/>
      <c r="G38" s="20" t="inlineStr"/>
      <c r="H38" s="20" t="inlineStr"/>
      <c r="I38" s="20" t="inlineStr"/>
      <c r="J38" s="20" t="inlineStr"/>
    </row>
    <row r="39" ht="20" customHeight="1">
      <c r="A39" s="17" t="inlineStr">
        <is>
          <t xml:space="preserve">  First launch / cold start</t>
        </is>
      </c>
    </row>
    <row r="40">
      <c r="A40" s="18" t="inlineStr">
        <is>
          <t>LNC-01</t>
        </is>
      </c>
      <c r="B40" s="19" t="inlineStr">
        <is>
          <t>First launch / cold start</t>
        </is>
      </c>
      <c r="C40" s="25" t="inlineStr">
        <is>
          <t>YES</t>
        </is>
      </c>
      <c r="D40" s="20" t="inlineStr">
        <is>
          <t>Double-clicking the desktop shortcut on a clean machine (row C) shows the CardioX window</t>
        </is>
      </c>
      <c r="E40" s="20" t="inlineStr">
        <is>
          <t>No Python traceback, no missing-DLL dialog, no console flash.</t>
        </is>
      </c>
      <c r="F40" s="20" t="inlineStr"/>
      <c r="G40" s="20" t="inlineStr"/>
      <c r="H40" s="20" t="inlineStr"/>
      <c r="I40" s="20" t="inlineStr"/>
      <c r="J40" s="20" t="inlineStr"/>
    </row>
    <row r="41">
      <c r="A41" s="21" t="inlineStr">
        <is>
          <t>LNC-02</t>
        </is>
      </c>
      <c r="B41" s="22" t="inlineStr">
        <is>
          <t>First launch / cold start</t>
        </is>
      </c>
      <c r="C41" s="24" t="inlineStr">
        <is>
          <t>YES</t>
        </is>
      </c>
      <c r="D41" s="23" t="inlineStr">
        <is>
          <t>Runtime workspace is created outside Program Files</t>
        </is>
      </c>
      <c r="E41" s="23" t="inlineStr">
        <is>
          <t>After first launch, %LOCALAPPDATA%\Deckmount\CardioX exists and contains reports\, logs\, offline_queue\, temp\, src\. Why: _prepare_runtime_workspace() (src/main.py:78) must relocate all writes; writing under Program Files fails for standard users.</t>
        </is>
      </c>
      <c r="F41" s="23" t="inlineStr"/>
      <c r="G41" s="23" t="inlineStr"/>
      <c r="H41" s="23" t="inlineStr"/>
      <c r="I41" s="23" t="inlineStr"/>
      <c r="J41" s="23" t="inlineStr"/>
    </row>
    <row r="42">
      <c r="A42" s="18" t="inlineStr">
        <is>
          <t>LNC-03</t>
        </is>
      </c>
      <c r="B42" s="19" t="inlineStr">
        <is>
          <t>First launch / cold start</t>
        </is>
      </c>
      <c r="C42" s="25" t="inlineStr">
        <is>
          <t>YES</t>
        </is>
      </c>
      <c r="D42" s="20" t="inlineStr">
        <is>
          <t>Seed files copied into the workspace on first run:</t>
        </is>
      </c>
      <c r="E42" s="20" t="inlineStr">
        <is>
          <t>.env, customer_channels.json, users.json, ecg_settings.json, last_conclusions.json, src\users.json, src\ecg_settings.json.</t>
        </is>
      </c>
      <c r="F42" s="20" t="inlineStr"/>
      <c r="G42" s="20" t="inlineStr"/>
      <c r="H42" s="20" t="inlineStr"/>
      <c r="I42" s="20" t="inlineStr"/>
      <c r="J42" s="20" t="inlineStr"/>
    </row>
    <row r="43">
      <c r="A43" s="21" t="inlineStr">
        <is>
          <t>LNC-04</t>
        </is>
      </c>
      <c r="B43" s="22" t="inlineStr">
        <is>
          <t>First launch / cold start</t>
        </is>
      </c>
      <c r="C43" s="24" t="inlineStr">
        <is>
          <t>YES</t>
        </is>
      </c>
      <c r="D43" s="23" t="inlineStr">
        <is>
          <t>Nothing is written under C:\Program Files\CardioX</t>
        </is>
      </c>
      <c r="E43" s="23" t="inlineStr">
        <is>
          <t>during a full session. Verify with Process Monitor filtered on Path contains CardioX + Operation is WriteFile, or by checking that no file under {app} has a modified timestamp later than install time.</t>
        </is>
      </c>
      <c r="F43" s="23" t="inlineStr"/>
      <c r="G43" s="23" t="inlineStr"/>
      <c r="H43" s="23" t="inlineStr"/>
      <c r="I43" s="23" t="inlineStr"/>
      <c r="J43" s="23" t="inlineStr"/>
    </row>
    <row r="44">
      <c r="A44" s="18" t="inlineStr">
        <is>
          <t>LNC-05</t>
        </is>
      </c>
      <c r="B44" s="19" t="inlineStr">
        <is>
          <t>First launch / cold start</t>
        </is>
      </c>
      <c r="C44" s="25" t="inlineStr">
        <is>
          <t>YES</t>
        </is>
      </c>
      <c r="D44" s="20" t="inlineStr">
        <is>
          <t>Run the app as a standard (non-admin) user</t>
        </is>
      </c>
      <c r="E44" s="20" t="inlineStr">
        <is>
          <t>It launches and can save a report.</t>
        </is>
      </c>
      <c r="F44" s="20" t="inlineStr"/>
      <c r="G44" s="20" t="inlineStr"/>
      <c r="H44" s="20" t="inlineStr"/>
      <c r="I44" s="20" t="inlineStr"/>
      <c r="J44" s="20" t="inlineStr"/>
    </row>
    <row r="45">
      <c r="A45" s="21" t="inlineStr">
        <is>
          <t>LNC-06</t>
        </is>
      </c>
      <c r="B45" s="22" t="inlineStr">
        <is>
          <t>First launch / cold start</t>
        </is>
      </c>
      <c r="C45" s="24" t="inlineStr">
        <is>
          <t>YES</t>
        </is>
      </c>
      <c r="D45" s="23" t="inlineStr">
        <is>
          <t>The Windows taskbar groups the window under the CardioX icon (AppUserModelID = CardioX.1.1.0), not under a Python interpreter</t>
        </is>
      </c>
      <c r="E45" s="23" t="inlineStr">
        <is>
          <t>icon.</t>
        </is>
      </c>
      <c r="F45" s="23" t="inlineStr"/>
      <c r="G45" s="23" t="inlineStr"/>
      <c r="H45" s="23" t="inlineStr"/>
      <c r="I45" s="23" t="inlineStr"/>
      <c r="J45" s="23" t="inlineStr"/>
    </row>
    <row r="46">
      <c r="A46" s="18" t="inlineStr">
        <is>
          <t>LNC-07</t>
        </is>
      </c>
      <c r="B46" s="19" t="inlineStr">
        <is>
          <t>First launch / cold start</t>
        </is>
      </c>
      <c r="C46" s="25" t="inlineStr">
        <is>
          <t>YES</t>
        </is>
      </c>
      <c r="D46" s="20" t="inlineStr">
        <is>
          <t>A second launch while the app is running does not open a second instance; the existing window is raised (single-instance socket</t>
        </is>
      </c>
      <c r="E46" s="20" t="inlineStr">
        <is>
          <t>in main()).</t>
        </is>
      </c>
      <c r="F46" s="20" t="inlineStr"/>
      <c r="G46" s="20" t="inlineStr"/>
      <c r="H46" s="20" t="inlineStr"/>
      <c r="I46" s="20" t="inlineStr"/>
      <c r="J46" s="20" t="inlineStr"/>
    </row>
    <row r="47">
      <c r="A47" s="21" t="inlineStr">
        <is>
          <t>LNC-08</t>
        </is>
      </c>
      <c r="B47" s="22" t="inlineStr">
        <is>
          <t>First launch / cold start</t>
        </is>
      </c>
      <c r="C47" s="24" t="inlineStr">
        <is>
          <t>YES</t>
        </is>
      </c>
      <c r="D47" s="23" t="inlineStr">
        <is>
          <t>Cold start time from double-click to a usable login screen is recorded here: ______ s</t>
        </is>
      </c>
      <c r="E47" s="23" t="inlineStr"/>
      <c r="F47" s="23" t="inlineStr"/>
      <c r="G47" s="23" t="inlineStr"/>
      <c r="H47" s="23" t="inlineStr"/>
      <c r="I47" s="23" t="inlineStr"/>
      <c r="J47" s="23" t="inlineStr"/>
    </row>
    <row r="48">
      <c r="A48" s="18" t="inlineStr">
        <is>
          <t>LNC-09</t>
        </is>
      </c>
      <c r="B48" s="19" t="inlineStr">
        <is>
          <t>First launch / cold start</t>
        </is>
      </c>
      <c r="C48" s="25" t="inlineStr">
        <is>
          <t>YES</t>
        </is>
      </c>
      <c r="D48" s="20" t="inlineStr">
        <is>
          <t>%LOCALAPPDATA%\Deckmount\CardioX\logs\ receives a log file with no ERROR/Traceback entries from a clean start</t>
        </is>
      </c>
      <c r="E48" s="20" t="inlineStr"/>
      <c r="F48" s="20" t="inlineStr"/>
      <c r="G48" s="20" t="inlineStr"/>
      <c r="H48" s="20" t="inlineStr"/>
      <c r="I48" s="20" t="inlineStr"/>
      <c r="J48" s="20" t="inlineStr"/>
    </row>
    <row r="49" ht="20" customHeight="1">
      <c r="A49" s="17" t="inlineStr">
        <is>
          <t xml:space="preserve">  Licensing &amp; device authorization</t>
        </is>
      </c>
    </row>
    <row r="50">
      <c r="A50" s="18" t="inlineStr">
        <is>
          <t>LIC-01</t>
        </is>
      </c>
      <c r="B50" s="19" t="inlineStr">
        <is>
          <t>Licensing &amp; device authorization</t>
        </is>
      </c>
      <c r="C50" s="25" t="inlineStr">
        <is>
          <t>YES</t>
        </is>
      </c>
      <c r="D50" s="20" t="inlineStr">
        <is>
          <t>Rule 1 — Signup</t>
        </is>
      </c>
      <c r="E50" s="20" t="inlineStr">
        <is>
          <t>A fresh install with no token shows Sign Up. Completing it creates the account server-side and shows the generated credentials once.</t>
        </is>
      </c>
      <c r="F50" s="20" t="inlineStr"/>
      <c r="G50" s="20" t="inlineStr"/>
      <c r="H50" s="20" t="inlineStr"/>
      <c r="I50" s="20" t="inlineStr"/>
      <c r="J50" s="20" t="inlineStr"/>
    </row>
    <row r="51">
      <c r="A51" s="21" t="inlineStr">
        <is>
          <t>LIC-02</t>
        </is>
      </c>
      <c r="B51" s="22" t="inlineStr">
        <is>
          <t>Licensing &amp; device authorization</t>
        </is>
      </c>
      <c r="C51" s="24" t="inlineStr">
        <is>
          <t>YES</t>
        </is>
      </c>
      <c r="D51" s="23" t="inlineStr">
        <is>
          <t>cardiox.lic is written into the runtime workspace and carries the RhythmUltra serial that was connected at signup</t>
        </is>
      </c>
      <c r="E51" s="23" t="inlineStr"/>
      <c r="F51" s="23" t="inlineStr"/>
      <c r="G51" s="23" t="inlineStr"/>
      <c r="H51" s="23" t="inlineStr"/>
      <c r="I51" s="23" t="inlineStr"/>
      <c r="J51" s="23" t="inlineStr"/>
    </row>
    <row r="52">
      <c r="A52" s="18" t="inlineStr">
        <is>
          <t>LIC-03</t>
        </is>
      </c>
      <c r="B52" s="19" t="inlineStr">
        <is>
          <t>Licensing &amp; device authorization</t>
        </is>
      </c>
      <c r="C52" s="25" t="inlineStr">
        <is>
          <t>YES</t>
        </is>
      </c>
      <c r="D52" s="20" t="inlineStr">
        <is>
          <t>No double registration</t>
        </is>
      </c>
      <c r="E52" s="20" t="inlineStr">
        <is>
          <t>Sign up once, then log in and out three times. The server must still show one active seat for this machine. (Regression: the old build called /register twice, which deactivated the first seat and made every later heartbeat answer SEAT_INACTIVE.)</t>
        </is>
      </c>
      <c r="F52" s="20" t="inlineStr"/>
      <c r="G52" s="20" t="inlineStr"/>
      <c r="H52" s="20" t="inlineStr"/>
      <c r="I52" s="20" t="inlineStr"/>
      <c r="J52" s="20" t="inlineStr"/>
    </row>
    <row r="53">
      <c r="A53" s="21" t="inlineStr">
        <is>
          <t>LIC-04</t>
        </is>
      </c>
      <c r="B53" s="22" t="inlineStr">
        <is>
          <t>Licensing &amp; device authorization</t>
        </is>
      </c>
      <c r="C53" s="24" t="inlineStr">
        <is>
          <t>YES</t>
        </is>
      </c>
      <c r="D53" s="23" t="inlineStr">
        <is>
          <t>Rule 2 — 5 seats per device</t>
        </is>
      </c>
      <c r="E53" s="23" t="inlineStr">
        <is>
          <t>Register the same RhythmUltra serial from five different machines (or fingerprints); all five succeed. The sixth is refused with a device-limit dialog, not a generic error.</t>
        </is>
      </c>
      <c r="F53" s="23" t="inlineStr"/>
      <c r="G53" s="23" t="inlineStr"/>
      <c r="H53" s="23" t="inlineStr"/>
      <c r="I53" s="23" t="inlineStr"/>
      <c r="J53" s="23" t="inlineStr"/>
    </row>
    <row r="54">
      <c r="A54" s="18" t="inlineStr">
        <is>
          <t>LIC-05</t>
        </is>
      </c>
      <c r="B54" s="19" t="inlineStr">
        <is>
          <t>Licensing &amp; device authorization</t>
        </is>
      </c>
      <c r="C54" s="25" t="inlineStr">
        <is>
          <t>YES</t>
        </is>
      </c>
      <c r="D54" s="20" t="inlineStr">
        <is>
          <t>Rule 3 — Revocation stops the software</t>
        </is>
      </c>
      <c r="E54" s="20" t="inlineStr">
        <is>
          <t>Revoke the seat server-side, restart the app. Expected: login blocked, message naming revocation and pointing at Deckmount support, local credentials wiped, user returned to Sign Up.</t>
        </is>
      </c>
      <c r="F54" s="20" t="inlineStr"/>
      <c r="G54" s="20" t="inlineStr"/>
      <c r="H54" s="20" t="inlineStr"/>
      <c r="I54" s="20" t="inlineStr"/>
      <c r="J54" s="20" t="inlineStr"/>
    </row>
    <row r="55">
      <c r="A55" s="21" t="inlineStr">
        <is>
          <t>LIC-06</t>
        </is>
      </c>
      <c r="B55" s="22" t="inlineStr">
        <is>
          <t>Licensing &amp; device authorization</t>
        </is>
      </c>
      <c r="C55" s="24" t="inlineStr">
        <is>
          <t>YES</t>
        </is>
      </c>
      <c r="D55" s="23" t="inlineStr">
        <is>
          <t>Both server codes — LICENSE_REVOKED and ACCOUNT_REVOKED — produce the same user-facing wording</t>
        </is>
      </c>
      <c r="E55" s="23" t="inlineStr"/>
      <c r="F55" s="23" t="inlineStr"/>
      <c r="G55" s="23" t="inlineStr"/>
      <c r="H55" s="23" t="inlineStr"/>
      <c r="I55" s="23" t="inlineStr"/>
      <c r="J55" s="23" t="inlineStr"/>
    </row>
    <row r="56">
      <c r="A56" s="18" t="inlineStr">
        <is>
          <t>LIC-07</t>
        </is>
      </c>
      <c r="B56" s="19" t="inlineStr">
        <is>
          <t>Licensing &amp; device authorization</t>
        </is>
      </c>
      <c r="C56" s="25" t="inlineStr">
        <is>
          <t>YES</t>
        </is>
      </c>
      <c r="D56" s="20" t="inlineStr">
        <is>
          <t>Rule 4 — Revoked user cannot re-register</t>
        </is>
      </c>
      <c r="E56" s="20" t="inlineStr">
        <is>
          <t>⚠️ Known gap: not enforced in cardiox-license-register. Record the observed behaviour and confirm the defect is still tracked; do not mark PASS on the current backend.</t>
        </is>
      </c>
      <c r="F56" s="20" t="inlineStr"/>
      <c r="G56" s="20" t="inlineStr"/>
      <c r="H56" s="20" t="inlineStr"/>
      <c r="I56" s="20" t="inlineStr"/>
      <c r="J56" s="20" t="inlineStr"/>
    </row>
    <row r="57">
      <c r="A57" s="21" t="inlineStr">
        <is>
          <t>LIC-08</t>
        </is>
      </c>
      <c r="B57" s="22" t="inlineStr">
        <is>
          <t>Licensing &amp; device authorization</t>
        </is>
      </c>
      <c r="C57" s="24" t="inlineStr">
        <is>
          <t>YES</t>
        </is>
      </c>
      <c r="D57" s="23" t="inlineStr">
        <is>
          <t>Rule 5 — Seat release re-opens registration</t>
        </is>
      </c>
      <c r="E57" s="23" t="inlineStr">
        <is>
          <t>Run both SQL statements from the README (update license_seats and flip licenses.status back to unused). The user can then register again. Running only the first statement must be shown to strand the key — verify this, because it is the mistake the runbook exists to prevent.</t>
        </is>
      </c>
      <c r="F57" s="23" t="inlineStr"/>
      <c r="G57" s="23" t="inlineStr"/>
      <c r="H57" s="23" t="inlineStr"/>
      <c r="I57" s="23" t="inlineStr"/>
      <c r="J57" s="23" t="inlineStr"/>
    </row>
    <row r="58">
      <c r="A58" s="18" t="inlineStr">
        <is>
          <t>LIC-09</t>
        </is>
      </c>
      <c r="B58" s="19" t="inlineStr">
        <is>
          <t>Licensing &amp; device authorization</t>
        </is>
      </c>
      <c r="C58" s="25" t="inlineStr">
        <is>
          <t>YES</t>
        </is>
      </c>
      <c r="D58" s="20" t="inlineStr">
        <is>
          <t>Rule 6 — 7-day offline grace</t>
        </is>
      </c>
      <c r="E58" s="20" t="inlineStr">
        <is>
          <t>Disconnect the network. The app keeps working for 7 days (adjust the system clock or the stored timestamp to test). On day 8 it stops.</t>
        </is>
      </c>
      <c r="F58" s="20" t="inlineStr"/>
      <c r="G58" s="20" t="inlineStr"/>
      <c r="H58" s="20" t="inlineStr"/>
      <c r="I58" s="20" t="inlineStr"/>
      <c r="J58" s="20" t="inlineStr"/>
    </row>
    <row r="59">
      <c r="A59" s="21" t="inlineStr">
        <is>
          <t>LIC-10</t>
        </is>
      </c>
      <c r="B59" s="22" t="inlineStr">
        <is>
          <t>Licensing &amp; device authorization</t>
        </is>
      </c>
      <c r="C59" s="24" t="inlineStr">
        <is>
          <t>YES</t>
        </is>
      </c>
      <c r="D59" s="23" t="inlineStr">
        <is>
          <t>Rule 7 — 3-day warning</t>
        </is>
      </c>
      <c r="E59" s="23" t="inlineStr">
        <is>
          <t>On each launch during the final 3 days, a warning states that internet is required for verification or the software will stop.</t>
        </is>
      </c>
      <c r="F59" s="23" t="inlineStr"/>
      <c r="G59" s="23" t="inlineStr"/>
      <c r="H59" s="23" t="inlineStr"/>
      <c r="I59" s="23" t="inlineStr"/>
      <c r="J59" s="23" t="inlineStr"/>
    </row>
    <row r="60">
      <c r="A60" s="18" t="inlineStr">
        <is>
          <t>LIC-11</t>
        </is>
      </c>
      <c r="B60" s="19" t="inlineStr">
        <is>
          <t>Licensing &amp; device authorization</t>
        </is>
      </c>
      <c r="C60" s="25" t="inlineStr">
        <is>
          <t>YES</t>
        </is>
      </c>
      <c r="D60" s="20" t="inlineStr">
        <is>
          <t>Rule 8 — Grace expiry never wipes credentials</t>
        </is>
      </c>
      <c r="E60" s="20" t="inlineStr">
        <is>
          <t>After grace expires, users.json still contains every local record. Reconnecting the network restores access with no re-registration. This is the hard line: users.json is shared clinical data.</t>
        </is>
      </c>
      <c r="F60" s="20" t="inlineStr"/>
      <c r="G60" s="20" t="inlineStr"/>
      <c r="H60" s="20" t="inlineStr"/>
      <c r="I60" s="20" t="inlineStr"/>
      <c r="J60" s="20" t="inlineStr"/>
    </row>
    <row r="61">
      <c r="A61" s="21" t="inlineStr">
        <is>
          <t>LIC-12</t>
        </is>
      </c>
      <c r="B61" s="22" t="inlineStr">
        <is>
          <t>Licensing &amp; device authorization</t>
        </is>
      </c>
      <c r="C61" s="24" t="inlineStr">
        <is>
          <t>YES</t>
        </is>
      </c>
      <c r="D61" s="23" t="inlineStr">
        <is>
          <t>Gate fails closed</t>
        </is>
      </c>
      <c r="E61" s="23" t="inlineStr">
        <is>
          <t>Force an exception inside the licence gate (e.g. point LICENSE_SERVER_URL at an unroutable address with no cached grace). The app must deny access, never fall through to the dashboard.</t>
        </is>
      </c>
      <c r="F61" s="23" t="inlineStr"/>
      <c r="G61" s="23" t="inlineStr"/>
      <c r="H61" s="23" t="inlineStr"/>
      <c r="I61" s="23" t="inlineStr"/>
      <c r="J61" s="23" t="inlineStr"/>
    </row>
    <row r="62">
      <c r="A62" s="18" t="inlineStr">
        <is>
          <t>LIC-13</t>
        </is>
      </c>
      <c r="B62" s="19" t="inlineStr">
        <is>
          <t>Licensing &amp; device authorization</t>
        </is>
      </c>
      <c r="C62" s="25" t="inlineStr">
        <is>
          <t>YES</t>
        </is>
      </c>
      <c r="D62" s="20" t="inlineStr">
        <is>
          <t>Stale-seat self-repair is silent</t>
        </is>
      </c>
      <c r="E62" s="20" t="inlineStr">
        <is>
          <t>Corrupt/expire the token, then log in with valid credentials. resync_token_from_credentials() refreshes from /validate and the checks re-run with no dialog and no "device seat was not found" prompt offering to wipe the licence.</t>
        </is>
      </c>
      <c r="F62" s="20" t="inlineStr"/>
      <c r="G62" s="20" t="inlineStr"/>
      <c r="H62" s="20" t="inlineStr"/>
      <c r="I62" s="20" t="inlineStr"/>
      <c r="J62" s="20" t="inlineStr"/>
    </row>
    <row r="63">
      <c r="A63" s="21" t="inlineStr">
        <is>
          <t>LIC-14</t>
        </is>
      </c>
      <c r="B63" s="22" t="inlineStr">
        <is>
          <t>Licensing &amp; device authorization</t>
        </is>
      </c>
      <c r="C63" s="24" t="inlineStr">
        <is>
          <t>YES</t>
        </is>
      </c>
      <c r="D63" s="23" t="inlineStr">
        <is>
          <t>SEAT_INACTIVE is not treated as revocation — the local account survives it</t>
        </is>
      </c>
      <c r="E63" s="23" t="inlineStr"/>
      <c r="F63" s="23" t="inlineStr"/>
      <c r="G63" s="23" t="inlineStr"/>
      <c r="H63" s="23" t="inlineStr"/>
      <c r="I63" s="23" t="inlineStr"/>
      <c r="J63" s="23" t="inlineStr"/>
    </row>
    <row r="64">
      <c r="A64" s="18" t="inlineStr">
        <is>
          <t>LIC-15</t>
        </is>
      </c>
      <c r="B64" s="19" t="inlineStr">
        <is>
          <t>Licensing &amp; device authorization</t>
        </is>
      </c>
      <c r="C64" s="25" t="inlineStr">
        <is>
          <t>YES</t>
        </is>
      </c>
      <c r="D64" s="20" t="inlineStr">
        <is>
          <t>Check-5 heartbeat is unconditional</t>
        </is>
      </c>
      <c r="E64" s="20" t="inlineStr">
        <is>
          <t>With a valid local token present and the network up, confirm the heartbeat still fires. Making it conditional on local state silently disables revocation enforcement entirely.</t>
        </is>
      </c>
      <c r="F64" s="20" t="inlineStr"/>
      <c r="G64" s="20" t="inlineStr"/>
      <c r="H64" s="20" t="inlineStr"/>
      <c r="I64" s="20" t="inlineStr"/>
      <c r="J64" s="20" t="inlineStr"/>
    </row>
    <row r="65">
      <c r="A65" s="21" t="inlineStr">
        <is>
          <t>LIC-16</t>
        </is>
      </c>
      <c r="B65" s="22" t="inlineStr">
        <is>
          <t>Licensing &amp; device authorization</t>
        </is>
      </c>
      <c r="C65" s="24" t="inlineStr">
        <is>
          <t>YES</t>
        </is>
      </c>
      <c r="D65" s="23" t="inlineStr">
        <is>
          <t>Dev auto-login is off by default</t>
        </is>
      </c>
      <c r="E65" s="23" t="inlineStr">
        <is>
          <t>Without CARDIOX_DEV_AUTOLOGIN set, no credential is pre-filled and no bypass exists in the shipped EXE.</t>
        </is>
      </c>
      <c r="F65" s="23" t="inlineStr"/>
      <c r="G65" s="23" t="inlineStr"/>
      <c r="H65" s="23" t="inlineStr"/>
      <c r="I65" s="23" t="inlineStr"/>
      <c r="J65" s="23" t="inlineStr"/>
    </row>
    <row r="66">
      <c r="A66" s="18" t="inlineStr">
        <is>
          <t>LIC-17</t>
        </is>
      </c>
      <c r="B66" s="19" t="inlineStr">
        <is>
          <t>Licensing &amp; device authorization</t>
        </is>
      </c>
      <c r="C66" s="25" t="inlineStr">
        <is>
          <t>YES</t>
        </is>
      </c>
      <c r="D66" s="20" t="inlineStr">
        <is>
          <t>Signup failure dialogs are specific:</t>
        </is>
      </c>
      <c r="E66" s="20" t="inlineStr">
        <is>
          <t>device limit, revoked, and server-unreachable each produce a distinct message.</t>
        </is>
      </c>
      <c r="F66" s="20" t="inlineStr"/>
      <c r="G66" s="20" t="inlineStr"/>
      <c r="H66" s="20" t="inlineStr"/>
      <c r="I66" s="20" t="inlineStr"/>
      <c r="J66" s="20" t="inlineStr"/>
    </row>
    <row r="67">
      <c r="A67" s="21" t="inlineStr">
        <is>
          <t>LIC-18</t>
        </is>
      </c>
      <c r="B67" s="22" t="inlineStr">
        <is>
          <t>Licensing &amp; device authorization</t>
        </is>
      </c>
      <c r="C67" s="24" t="inlineStr">
        <is>
          <t>YES</t>
        </is>
      </c>
      <c r="D67" s="23" t="inlineStr">
        <is>
          <t>Login is concurrent, not sequential</t>
        </is>
      </c>
      <c r="E67" s="23" t="inlineStr">
        <is>
          <t>Measure sign-in wall time. Expected ≈ 4.5 s, not ≈ 8.5 s — the heartbeat and the credential check now run in parallel. Record: ______ s.</t>
        </is>
      </c>
      <c r="F67" s="23" t="inlineStr"/>
      <c r="G67" s="23" t="inlineStr"/>
      <c r="H67" s="23" t="inlineStr"/>
      <c r="I67" s="23" t="inlineStr"/>
      <c r="J67" s="23" t="inlineStr"/>
    </row>
    <row r="68" ht="20" customHeight="1">
      <c r="A68" s="17" t="inlineStr">
        <is>
          <t xml:space="preserve">  Device / hardware</t>
        </is>
      </c>
    </row>
    <row r="69">
      <c r="A69" s="21" t="inlineStr">
        <is>
          <t>DEV-01</t>
        </is>
      </c>
      <c r="B69" s="22" t="inlineStr">
        <is>
          <t>Device / hardware</t>
        </is>
      </c>
      <c r="C69" s="22" t="inlineStr"/>
      <c r="D69" s="23" t="inlineStr">
        <is>
          <t>With no device attached, the dashboard reports "not connected" and does not crash</t>
        </is>
      </c>
      <c r="E69" s="23" t="inlineStr"/>
      <c r="F69" s="23" t="inlineStr"/>
      <c r="G69" s="23" t="inlineStr"/>
      <c r="H69" s="23" t="inlineStr"/>
      <c r="I69" s="23" t="inlineStr"/>
      <c r="J69" s="23" t="inlineStr"/>
    </row>
    <row r="70">
      <c r="A70" s="18" t="inlineStr">
        <is>
          <t>DEV-02</t>
        </is>
      </c>
      <c r="B70" s="19" t="inlineStr">
        <is>
          <t>Device / hardware</t>
        </is>
      </c>
      <c r="C70" s="19" t="inlineStr"/>
      <c r="D70" s="20" t="inlineStr">
        <is>
          <t>Plugging in the RhythmUltra is detected without restarting the app; the serial and firmware version are displayed</t>
        </is>
      </c>
      <c r="E70" s="20" t="inlineStr"/>
      <c r="F70" s="20" t="inlineStr"/>
      <c r="G70" s="20" t="inlineStr"/>
      <c r="H70" s="20" t="inlineStr"/>
      <c r="I70" s="20" t="inlineStr"/>
      <c r="J70" s="20" t="inlineStr"/>
    </row>
    <row r="71">
      <c r="A71" s="21" t="inlineStr">
        <is>
          <t>DEV-03</t>
        </is>
      </c>
      <c r="B71" s="22" t="inlineStr">
        <is>
          <t>Device / hardware</t>
        </is>
      </c>
      <c r="C71" s="22" t="inlineStr"/>
      <c r="D71" s="23" t="inlineStr">
        <is>
          <t>Hardware lock</t>
        </is>
      </c>
      <c r="E71" s="23" t="inlineStr">
        <is>
          <t>Attach a RhythmUltra whose serial differs from the one in cardiox.lic. Acquisition must be refused in all three modules — 12-Lead, HRV, Hyperkalemia.</t>
        </is>
      </c>
      <c r="F71" s="23" t="inlineStr"/>
      <c r="G71" s="23" t="inlineStr"/>
      <c r="H71" s="23" t="inlineStr"/>
      <c r="I71" s="23" t="inlineStr"/>
      <c r="J71" s="23" t="inlineStr"/>
    </row>
    <row r="72">
      <c r="A72" s="18" t="inlineStr">
        <is>
          <t>DEV-04</t>
        </is>
      </c>
      <c r="B72" s="19" t="inlineStr">
        <is>
          <t>Device / hardware</t>
        </is>
      </c>
      <c r="C72" s="19" t="inlineStr"/>
      <c r="D72" s="20" t="inlineStr">
        <is>
          <t>Unplugging mid-capture is handled gracefully:</t>
        </is>
      </c>
      <c r="E72" s="20" t="inlineStr">
        <is>
          <t>acquisition stops, an error is shown, no crash, no half-written recording.</t>
        </is>
      </c>
      <c r="F72" s="20" t="inlineStr"/>
      <c r="G72" s="20" t="inlineStr"/>
      <c r="H72" s="20" t="inlineStr"/>
      <c r="I72" s="20" t="inlineStr"/>
      <c r="J72" s="20" t="inlineStr"/>
    </row>
    <row r="73">
      <c r="A73" s="21" t="inlineStr">
        <is>
          <t>DEV-05</t>
        </is>
      </c>
      <c r="B73" s="22" t="inlineStr">
        <is>
          <t>Device / hardware</t>
        </is>
      </c>
      <c r="C73" s="22" t="inlineStr"/>
      <c r="D73" s="23" t="inlineStr">
        <is>
          <t>Re-plugging after DEV-04 restores acquisition without an app restart</t>
        </is>
      </c>
      <c r="E73" s="23" t="inlineStr"/>
      <c r="F73" s="23" t="inlineStr"/>
      <c r="G73" s="23" t="inlineStr"/>
      <c r="H73" s="23" t="inlineStr"/>
      <c r="I73" s="23" t="inlineStr"/>
      <c r="J73" s="23" t="inlineStr"/>
    </row>
    <row r="74">
      <c r="A74" s="18" t="inlineStr">
        <is>
          <t>DEV-06</t>
        </is>
      </c>
      <c r="B74" s="19" t="inlineStr">
        <is>
          <t>Device / hardware</t>
        </is>
      </c>
      <c r="C74" s="19" t="inlineStr"/>
      <c r="D74" s="20" t="inlineStr">
        <is>
          <t>COM port enumeration works on a machine with several serial devices present (pyserial + serial.tools.list_ports.windows are</t>
        </is>
      </c>
      <c r="E74" s="20" t="inlineStr">
        <is>
          <t>bundled — see BLD-08).</t>
        </is>
      </c>
      <c r="F74" s="20" t="inlineStr"/>
      <c r="G74" s="20" t="inlineStr"/>
      <c r="H74" s="20" t="inlineStr"/>
      <c r="I74" s="20" t="inlineStr"/>
      <c r="J74" s="20" t="inlineStr"/>
    </row>
    <row r="75" ht="20" customHeight="1">
      <c r="A75" s="17" t="inlineStr">
        <is>
          <t xml:space="preserve">  12-Lead ECG module</t>
        </is>
      </c>
    </row>
    <row r="76">
      <c r="A76" s="18" t="inlineStr">
        <is>
          <t>ECG-01</t>
        </is>
      </c>
      <c r="B76" s="19" t="inlineStr">
        <is>
          <t>12-Lead ECG module</t>
        </is>
      </c>
      <c r="C76" s="19" t="inlineStr"/>
      <c r="D76" s="20" t="inlineStr">
        <is>
          <t>12-Lead window opens from the dashboard and all 12 traces render</t>
        </is>
      </c>
      <c r="E76" s="20" t="inlineStr"/>
      <c r="F76" s="20" t="inlineStr"/>
      <c r="G76" s="20" t="inlineStr"/>
      <c r="H76" s="20" t="inlineStr"/>
      <c r="I76" s="20" t="inlineStr"/>
      <c r="J76" s="20" t="inlineStr"/>
    </row>
    <row r="77">
      <c r="A77" s="21" t="inlineStr">
        <is>
          <t>ECG-02</t>
        </is>
      </c>
      <c r="B77" s="22" t="inlineStr">
        <is>
          <t>12-Lead ECG module</t>
        </is>
      </c>
      <c r="C77" s="22" t="inlineStr"/>
      <c r="D77" s="23" t="inlineStr">
        <is>
          <t>Live trace scrolls smoothly, newest sample on the right, no black speckle inside the line (mode='subsample', not 'peak')</t>
        </is>
      </c>
      <c r="E77" s="23" t="inlineStr"/>
      <c r="F77" s="23" t="inlineStr"/>
      <c r="G77" s="23" t="inlineStr"/>
      <c r="H77" s="23" t="inlineStr"/>
      <c r="I77" s="23" t="inlineStr"/>
      <c r="J77" s="23" t="inlineStr"/>
    </row>
    <row r="78">
      <c r="A78" s="18" t="inlineStr">
        <is>
          <t>ECG-03</t>
        </is>
      </c>
      <c r="B78" s="19" t="inlineStr">
        <is>
          <t>12-Lead ECG module</t>
        </is>
      </c>
      <c r="C78" s="19" t="inlineStr"/>
      <c r="D78" s="20" t="inlineStr">
        <is>
          <t>Trace colour #00FF00 at 2.0 px, matching HRV and Hyperkalemia</t>
        </is>
      </c>
      <c r="E78" s="20" t="inlineStr"/>
      <c r="F78" s="20" t="inlineStr"/>
      <c r="G78" s="20" t="inlineStr"/>
      <c r="H78" s="20" t="inlineStr"/>
      <c r="I78" s="20" t="inlineStr"/>
      <c r="J78" s="20" t="inlineStr"/>
    </row>
    <row r="79">
      <c r="A79" s="21" t="inlineStr">
        <is>
          <t>ECG-04</t>
        </is>
      </c>
      <c r="B79" s="22" t="inlineStr">
        <is>
          <t>12-Lead ECG module</t>
        </is>
      </c>
      <c r="C79" s="22" t="inlineStr"/>
      <c r="D79" s="23" t="inlineStr">
        <is>
          <t>Top-bar metrics (HR, PR, QRS, QTc) populate within a few seconds and are physiologically plausible against a known signal source</t>
        </is>
      </c>
      <c r="E79" s="23" t="inlineStr"/>
      <c r="F79" s="23" t="inlineStr"/>
      <c r="G79" s="23" t="inlineStr"/>
      <c r="H79" s="23" t="inlineStr"/>
      <c r="I79" s="23" t="inlineStr"/>
      <c r="J79" s="23" t="inlineStr"/>
    </row>
    <row r="80">
      <c r="A80" s="18" t="inlineStr">
        <is>
          <t>ECG-05</t>
        </is>
      </c>
      <c r="B80" s="19" t="inlineStr">
        <is>
          <t>12-Lead ECG module</t>
        </is>
      </c>
      <c r="C80" s="19" t="inlineStr"/>
      <c r="D80" s="20" t="inlineStr">
        <is>
          <t>No 260 BPM startup spike</t>
        </is>
      </c>
      <c r="E80" s="20" t="inlineStr">
        <is>
          <t>Watch the first 5 seconds after starting capture. The startup lockout (12 beats, 3.0 s minimum) must suppress the flat-buffer transient.</t>
        </is>
      </c>
      <c r="F80" s="20" t="inlineStr"/>
      <c r="G80" s="20" t="inlineStr"/>
      <c r="H80" s="20" t="inlineStr"/>
      <c r="I80" s="20" t="inlineStr"/>
      <c r="J80" s="20" t="inlineStr"/>
    </row>
    <row r="81">
      <c r="A81" s="21" t="inlineStr">
        <is>
          <t>ECG-06</t>
        </is>
      </c>
      <c r="B81" s="22" t="inlineStr">
        <is>
          <t>12-Lead ECG module</t>
        </is>
      </c>
      <c r="C81" s="22" t="inlineStr"/>
      <c r="D81" s="23" t="inlineStr">
        <is>
          <t>Lead-off resets metrics</t>
        </is>
      </c>
      <c r="E81" s="23" t="inlineStr">
        <is>
          <t>Disconnect a lead: heart_rate, pr_interval, qrs_duration, qtc_interval all go to 0 / -- immediately, and the red disconnection alert appears.</t>
        </is>
      </c>
      <c r="F81" s="23" t="inlineStr"/>
      <c r="G81" s="23" t="inlineStr"/>
      <c r="H81" s="23" t="inlineStr"/>
      <c r="I81" s="23" t="inlineStr"/>
      <c r="J81" s="23" t="inlineStr"/>
    </row>
    <row r="82">
      <c r="A82" s="18" t="inlineStr">
        <is>
          <t>ECG-07</t>
        </is>
      </c>
      <c r="B82" s="19" t="inlineStr">
        <is>
          <t>12-Lead ECG module</t>
        </is>
      </c>
      <c r="C82" s="19" t="inlineStr"/>
      <c r="D82" s="20" t="inlineStr">
        <is>
          <t>Resume during lead-off</t>
        </is>
      </c>
      <c r="E82" s="20" t="inlineStr">
        <is>
          <t>Freeze, disconnect a lead, press Resume — metrics reset to 0 BPM / 0 ms / -- instantly and the alert stays active.</t>
        </is>
      </c>
      <c r="F82" s="20" t="inlineStr"/>
      <c r="G82" s="20" t="inlineStr"/>
      <c r="H82" s="20" t="inlineStr"/>
      <c r="I82" s="20" t="inlineStr"/>
      <c r="J82" s="20" t="inlineStr"/>
    </row>
    <row r="83">
      <c r="A83" s="21" t="inlineStr">
        <is>
          <t>ECG-08</t>
        </is>
      </c>
      <c r="B83" s="22" t="inlineStr">
        <is>
          <t>12-Lead ECG module</t>
        </is>
      </c>
      <c r="C83" s="22" t="inlineStr"/>
      <c r="D83" s="23" t="inlineStr">
        <is>
          <t>A report frozen during lead disconnection prints 0 for every interval metric, not stale values</t>
        </is>
      </c>
      <c r="E83" s="23" t="inlineStr"/>
      <c r="F83" s="23" t="inlineStr"/>
      <c r="G83" s="23" t="inlineStr"/>
      <c r="H83" s="23" t="inlineStr"/>
      <c r="I83" s="23" t="inlineStr"/>
      <c r="J83" s="23" t="inlineStr"/>
    </row>
    <row r="84">
      <c r="A84" s="18" t="inlineStr">
        <is>
          <t>ECG-09</t>
        </is>
      </c>
      <c r="B84" s="19" t="inlineStr">
        <is>
          <t>12-Lead ECG module</t>
        </is>
      </c>
      <c r="C84" s="19" t="inlineStr"/>
      <c r="D84" s="20" t="inlineStr">
        <is>
          <t>No fabricated fallbacks</t>
        </is>
      </c>
      <c r="E84" s="20" t="inlineStr">
        <is>
          <t>With fewer than 2 R-peaks or a flat signal, the display shows 0, never the old 60 BPM / 160/148 ms PR defaults.</t>
        </is>
      </c>
      <c r="F84" s="20" t="inlineStr"/>
      <c r="G84" s="20" t="inlineStr"/>
      <c r="H84" s="20" t="inlineStr"/>
      <c r="I84" s="20" t="inlineStr"/>
      <c r="J84" s="20" t="inlineStr"/>
    </row>
    <row r="85">
      <c r="A85" s="21" t="inlineStr">
        <is>
          <t>ECG-10</t>
        </is>
      </c>
      <c r="B85" s="22" t="inlineStr">
        <is>
          <t>12-Lead ECG module</t>
        </is>
      </c>
      <c r="C85" s="22" t="inlineStr"/>
      <c r="D85" s="23" t="inlineStr">
        <is>
          <t>RA disconnection invalidates chest leads</t>
        </is>
      </c>
      <c r="E85" s="23" t="inlineStr">
        <is>
          <t>Detach RA. V1–V6 must flatline and be listed in the red "Leads Off" indicator — not show floating WCT noise. (Root cause: chest leads reference Wilson's Central Terminal (RA+LA+LL)/3; the hardware still reports connected = True because the chest electrodes are physically attached.)</t>
        </is>
      </c>
      <c r="F85" s="23" t="inlineStr"/>
      <c r="G85" s="23" t="inlineStr"/>
      <c r="H85" s="23" t="inlineStr"/>
      <c r="I85" s="23" t="inlineStr"/>
      <c r="J85" s="23" t="inlineStr"/>
    </row>
    <row r="86">
      <c r="A86" s="18" t="inlineStr">
        <is>
          <t>ECG-11</t>
        </is>
      </c>
      <c r="B86" s="19" t="inlineStr">
        <is>
          <t>12-Lead ECG module</t>
        </is>
      </c>
      <c r="C86" s="19" t="inlineStr"/>
      <c r="D86" s="20" t="inlineStr">
        <is>
          <t>No lead-off false positives on clean signal</t>
        </is>
      </c>
      <c r="E86" s="20" t="inlineStr">
        <is>
          <t>Run 15 minutes of clean acquisition with all leads attached. Zero spurious lead-off verdicts, and in particular aVR, III and aVF are never marked disconnected. This is the check that matters most: a lead-off verdict substitutes a constant into the display, the analysis buffer and the recording, so a false positive prints a flat strip into a clinical report.</t>
        </is>
      </c>
      <c r="F86" s="20" t="inlineStr"/>
      <c r="G86" s="20" t="inlineStr"/>
      <c r="H86" s="20" t="inlineStr"/>
      <c r="I86" s="20" t="inlineStr"/>
      <c r="J86" s="20" t="inlineStr"/>
    </row>
    <row r="87">
      <c r="A87" s="21" t="inlineStr">
        <is>
          <t>ECG-12</t>
        </is>
      </c>
      <c r="B87" s="22" t="inlineStr">
        <is>
          <t>12-Lead ECG module</t>
        </is>
      </c>
      <c r="C87" s="22" t="inlineStr"/>
      <c r="D87" s="23" t="inlineStr">
        <is>
          <t>True disconnection is still detected within ~1 s for flat, dithered-flat, rail-clipped and runaway-noise conditions</t>
        </is>
      </c>
      <c r="E87" s="23" t="inlineStr"/>
      <c r="F87" s="23" t="inlineStr"/>
      <c r="G87" s="23" t="inlineStr"/>
      <c r="H87" s="23" t="inlineStr"/>
      <c r="I87" s="23" t="inlineStr"/>
      <c r="J87" s="23" t="inlineStr"/>
    </row>
    <row r="88">
      <c r="A88" s="18" t="inlineStr">
        <is>
          <t>ECG-13</t>
        </is>
      </c>
      <c r="B88" s="19" t="inlineStr">
        <is>
          <t>12-Lead ECG module</t>
        </is>
      </c>
      <c r="C88" s="19" t="inlineStr"/>
      <c r="D88" s="20" t="inlineStr">
        <is>
          <t>Freeze / Resume cycle preserves the frozen waveform exactly and resumes live data cleanly</t>
        </is>
      </c>
      <c r="E88" s="20" t="inlineStr"/>
      <c r="F88" s="20" t="inlineStr"/>
      <c r="G88" s="20" t="inlineStr"/>
      <c r="H88" s="20" t="inlineStr"/>
      <c r="I88" s="20" t="inlineStr"/>
      <c r="J88" s="20" t="inlineStr"/>
    </row>
    <row r="89">
      <c r="A89" s="21" t="inlineStr">
        <is>
          <t>ECG-14</t>
        </is>
      </c>
      <c r="B89" s="22" t="inlineStr">
        <is>
          <t>12-Lead ECG module</t>
        </is>
      </c>
      <c r="C89" s="22" t="inlineStr"/>
      <c r="D89" s="23" t="inlineStr">
        <is>
          <t>Settings-screen filter changes (AC 50/60 Hz, EMG, baseline) take effect on the 12-Lead display</t>
        </is>
      </c>
      <c r="E89" s="23" t="inlineStr">
        <is>
          <t>(12-Lead is the only module that follows the settings screen — see HRV-05/HYP-07.)</t>
        </is>
      </c>
      <c r="F89" s="23" t="inlineStr"/>
      <c r="G89" s="23" t="inlineStr"/>
      <c r="H89" s="23" t="inlineStr"/>
      <c r="I89" s="23" t="inlineStr"/>
      <c r="J89" s="23" t="inlineStr"/>
    </row>
    <row r="90" ht="20" customHeight="1">
      <c r="A90" s="17" t="inlineStr">
        <is>
          <t xml:space="preserve">  HRV module</t>
        </is>
      </c>
    </row>
    <row r="91">
      <c r="A91" s="21" t="inlineStr">
        <is>
          <t>HRV-01</t>
        </is>
      </c>
      <c r="B91" s="22" t="inlineStr">
        <is>
          <t>HRV module</t>
        </is>
      </c>
      <c r="C91" s="22" t="inlineStr"/>
      <c r="D91" s="23" t="inlineStr">
        <is>
          <t>HRV window opens and the trace renders</t>
        </is>
      </c>
      <c r="E91" s="23" t="inlineStr"/>
      <c r="F91" s="23" t="inlineStr"/>
      <c r="G91" s="23" t="inlineStr"/>
      <c r="H91" s="23" t="inlineStr"/>
      <c r="I91" s="23" t="inlineStr"/>
      <c r="J91" s="23" t="inlineStr"/>
    </row>
    <row r="92">
      <c r="A92" s="18" t="inlineStr">
        <is>
          <t>HRV-02</t>
        </is>
      </c>
      <c r="B92" s="19" t="inlineStr">
        <is>
          <t>HRV module</t>
        </is>
      </c>
      <c r="C92" s="19" t="inlineStr"/>
      <c r="D92" s="20" t="inlineStr">
        <is>
          <t>Scrolling, not raster sweep</t>
        </is>
      </c>
      <c r="E92" s="20" t="inlineStr">
        <is>
          <t>The trace scrolls with the newest sample pinned right. The old CRT-style eraser bar (80 samples + 14 px black pen) must be gone — no moving blank gap.</t>
        </is>
      </c>
      <c r="F92" s="20" t="inlineStr"/>
      <c r="G92" s="20" t="inlineStr"/>
      <c r="H92" s="20" t="inlineStr"/>
      <c r="I92" s="20" t="inlineStr"/>
      <c r="J92" s="20" t="inlineStr"/>
    </row>
    <row r="93">
      <c r="A93" s="21" t="inlineStr">
        <is>
          <t>HRV-03</t>
        </is>
      </c>
      <c r="B93" s="22" t="inlineStr">
        <is>
          <t>HRV module</t>
        </is>
      </c>
      <c r="C93" s="22" t="inlineStr"/>
      <c r="D93" s="23" t="inlineStr">
        <is>
          <t>No black speckle inside the line (ds=1, auto=False, mode='subsample')</t>
        </is>
      </c>
      <c r="E93" s="23" t="inlineStr"/>
      <c r="F93" s="23" t="inlineStr"/>
      <c r="G93" s="23" t="inlineStr"/>
      <c r="H93" s="23" t="inlineStr"/>
      <c r="I93" s="23" t="inlineStr"/>
      <c r="J93" s="23" t="inlineStr"/>
    </row>
    <row r="94">
      <c r="A94" s="18" t="inlineStr">
        <is>
          <t>HRV-04</t>
        </is>
      </c>
      <c r="B94" s="19" t="inlineStr">
        <is>
          <t>HRV module</t>
        </is>
      </c>
      <c r="C94" s="19" t="inlineStr"/>
      <c r="D94" s="20" t="inlineStr">
        <is>
          <t>Time-domain metrics (SDNN, rMSSD, pNN50) and intervals (PR, QRS, QT, QTc) populate and are plausible</t>
        </is>
      </c>
      <c r="E94" s="20" t="inlineStr"/>
      <c r="F94" s="20" t="inlineStr"/>
      <c r="G94" s="20" t="inlineStr"/>
      <c r="H94" s="20" t="inlineStr"/>
      <c r="I94" s="20" t="inlineStr"/>
      <c r="J94" s="20" t="inlineStr"/>
    </row>
    <row r="95">
      <c r="A95" s="21" t="inlineStr">
        <is>
          <t>HRV-05</t>
        </is>
      </c>
      <c r="B95" s="22" t="inlineStr">
        <is>
          <t>HRV module</t>
        </is>
      </c>
      <c r="C95" s="22" t="inlineStr"/>
      <c r="D95" s="23" t="inlineStr">
        <is>
          <t>Filters are fixed at AC 50 Hz / EMG 25 Hz / baseline 0.5 Hz on screen and in the report, regardless of the settings screen</t>
        </is>
      </c>
      <c r="E95" s="23" t="inlineStr"/>
      <c r="F95" s="23" t="inlineStr"/>
      <c r="G95" s="23" t="inlineStr"/>
      <c r="H95" s="23" t="inlineStr"/>
      <c r="I95" s="23" t="inlineStr"/>
      <c r="J95" s="23" t="inlineStr"/>
    </row>
    <row r="96">
      <c r="A96" s="18" t="inlineStr">
        <is>
          <t>HRV-06</t>
        </is>
      </c>
      <c r="B96" s="19" t="inlineStr">
        <is>
          <t>HRV module</t>
        </is>
      </c>
      <c r="C96" s="19" t="inlineStr"/>
      <c r="D96" s="20" t="inlineStr">
        <is>
          <t>BPM source is correct</t>
        </is>
      </c>
      <c r="E96" s="20" t="inlineStr">
        <is>
          <t>The displayed HR matches calculate_ecg_metrics() → calculate_hr_rr() (Pan-Tompkins → median RR). A ~151 BPM display against a real ~83 BPM signal means HolterBPMController has crept back in as the primary source.</t>
        </is>
      </c>
      <c r="F96" s="20" t="inlineStr"/>
      <c r="G96" s="20" t="inlineStr"/>
      <c r="H96" s="20" t="inlineStr"/>
      <c r="I96" s="20" t="inlineStr"/>
      <c r="J96" s="20" t="inlineStr"/>
    </row>
    <row r="97">
      <c r="A97" s="21" t="inlineStr">
        <is>
          <t>HRV-07</t>
        </is>
      </c>
      <c r="B97" s="22" t="inlineStr">
        <is>
          <t>HRV module</t>
        </is>
      </c>
      <c r="C97" s="22" t="inlineStr"/>
      <c r="D97" s="23" t="inlineStr">
        <is>
          <t>The value in the PDF and in hyper_metric.json matches the on-screen HR exactly</t>
        </is>
      </c>
      <c r="E97" s="23" t="inlineStr"/>
      <c r="F97" s="23" t="inlineStr"/>
      <c r="G97" s="23" t="inlineStr"/>
      <c r="H97" s="23" t="inlineStr"/>
      <c r="I97" s="23" t="inlineStr"/>
      <c r="J97" s="23" t="inlineStr"/>
    </row>
    <row r="98">
      <c r="A98" s="18" t="inlineStr">
        <is>
          <t>HRV-08</t>
        </is>
      </c>
      <c r="B98" s="19" t="inlineStr">
        <is>
          <t>HRV module</t>
        </is>
      </c>
      <c r="C98" s="19" t="inlineStr"/>
      <c r="D98" s="20" t="inlineStr">
        <is>
          <t>Lead-off zeroes metrics</t>
        </is>
      </c>
      <c r="E98" s="20" t="inlineStr">
        <is>
          <t>Disconnect all leads: HR/RR/PR/QRS/QT/QTc reset to 0, smoothing buffers clear, labels read 0 BPM / 0 ms, and the bold red "No ECG signal detected. Check patient leads." label appears left of the status indicator.</t>
        </is>
      </c>
      <c r="F98" s="20" t="inlineStr"/>
      <c r="G98" s="20" t="inlineStr"/>
      <c r="H98" s="20" t="inlineStr"/>
      <c r="I98" s="20" t="inlineStr"/>
      <c r="J98" s="20" t="inlineStr"/>
    </row>
    <row r="99">
      <c r="A99" s="21" t="inlineStr">
        <is>
          <t>HRV-09</t>
        </is>
      </c>
      <c r="B99" s="22" t="inlineStr">
        <is>
          <t>HRV module</t>
        </is>
      </c>
      <c r="C99" s="22" t="inlineStr"/>
      <c r="D99" s="23" t="inlineStr">
        <is>
          <t>The canvas still shows a flatline during disconnection (raw buffering is retained)</t>
        </is>
      </c>
      <c r="E99" s="23" t="inlineStr"/>
      <c r="F99" s="23" t="inlineStr"/>
      <c r="G99" s="23" t="inlineStr"/>
      <c r="H99" s="23" t="inlineStr"/>
      <c r="I99" s="23" t="inlineStr"/>
      <c r="J99" s="23" t="inlineStr"/>
    </row>
    <row r="100">
      <c r="A100" s="18" t="inlineStr">
        <is>
          <t>HRV-10</t>
        </is>
      </c>
      <c r="B100" s="19" t="inlineStr">
        <is>
          <t>HRV module</t>
        </is>
      </c>
      <c r="C100" s="19" t="inlineStr"/>
      <c r="D100" s="20" t="inlineStr">
        <is>
          <t>NaN never breaks the line</t>
        </is>
      </c>
      <c r="E100" s="20" t="inlineStr">
        <is>
          <t>Inject or provoke a non-finite sample; the trace holds the last good value rather than writing NaN into the sweep buffer. With connect='finite', a single NaN would otherwise sever the trace.</t>
        </is>
      </c>
      <c r="F100" s="20" t="inlineStr"/>
      <c r="G100" s="20" t="inlineStr"/>
      <c r="H100" s="20" t="inlineStr"/>
      <c r="I100" s="20" t="inlineStr"/>
      <c r="J100" s="20" t="inlineStr"/>
    </row>
    <row r="101">
      <c r="A101" s="21" t="inlineStr">
        <is>
          <t>HRV-11</t>
        </is>
      </c>
      <c r="B101" s="22" t="inlineStr">
        <is>
          <t>HRV module</t>
        </is>
      </c>
      <c r="C101" s="22" t="inlineStr"/>
      <c r="D101" s="23" t="inlineStr">
        <is>
          <t>Trace colour #00FF00 at 2.0 px</t>
        </is>
      </c>
      <c r="E101" s="23" t="inlineStr"/>
      <c r="F101" s="23" t="inlineStr"/>
      <c r="G101" s="23" t="inlineStr"/>
      <c r="H101" s="23" t="inlineStr"/>
      <c r="I101" s="23" t="inlineStr"/>
      <c r="J101" s="23" t="inlineStr"/>
    </row>
    <row r="102">
      <c r="A102" s="18" t="inlineStr">
        <is>
          <t>HRV-12</t>
        </is>
      </c>
      <c r="B102" s="19" t="inlineStr">
        <is>
          <t>HRV module</t>
        </is>
      </c>
      <c r="C102" s="19" t="inlineStr"/>
      <c r="D102" s="20" t="inlineStr">
        <is>
          <t>Shortcut sheet is accurate</t>
        </is>
      </c>
      <c r="E102" s="20" t="inlineStr">
        <is>
          <t>The History window shortcut sheet must not advertise Ctrl + E — that binding was removed with the email button.</t>
        </is>
      </c>
      <c r="F102" s="20" t="inlineStr"/>
      <c r="G102" s="20" t="inlineStr"/>
      <c r="H102" s="20" t="inlineStr"/>
      <c r="I102" s="20" t="inlineStr"/>
      <c r="J102" s="20" t="inlineStr"/>
    </row>
    <row r="103" ht="20" customHeight="1">
      <c r="A103" s="17" t="inlineStr">
        <is>
          <t xml:space="preserve">  Hyperkalemia module</t>
        </is>
      </c>
    </row>
    <row r="104">
      <c r="A104" s="18" t="inlineStr">
        <is>
          <t>HYP-01</t>
        </is>
      </c>
      <c r="B104" s="19" t="inlineStr">
        <is>
          <t>Hyperkalemia module</t>
        </is>
      </c>
      <c r="C104" s="19" t="inlineStr"/>
      <c r="D104" s="20" t="inlineStr">
        <is>
          <t>Hyperkalemia window opens and all lanes render</t>
        </is>
      </c>
      <c r="E104" s="20" t="inlineStr"/>
      <c r="F104" s="20" t="inlineStr"/>
      <c r="G104" s="20" t="inlineStr"/>
      <c r="H104" s="20" t="inlineStr"/>
      <c r="I104" s="20" t="inlineStr"/>
      <c r="J104" s="20" t="inlineStr"/>
    </row>
    <row r="105">
      <c r="A105" s="21" t="inlineStr">
        <is>
          <t>HYP-02</t>
        </is>
      </c>
      <c r="B105" s="22" t="inlineStr">
        <is>
          <t>Hyperkalemia module</t>
        </is>
      </c>
      <c r="C105" s="22" t="inlineStr"/>
      <c r="D105" s="23" t="inlineStr">
        <is>
          <t>Trace is a clean thin line, not hairy</t>
        </is>
      </c>
      <c r="E105" s="23" t="inlineStr">
        <is>
          <t>Lanes are ~900 px wide and the signal is decimated 2× to ≈1.7 points per pixel column (was 6.7).</t>
        </is>
      </c>
      <c r="F105" s="23" t="inlineStr"/>
      <c r="G105" s="23" t="inlineStr"/>
      <c r="H105" s="23" t="inlineStr"/>
      <c r="I105" s="23" t="inlineStr"/>
      <c r="J105" s="23" t="inlineStr"/>
    </row>
    <row r="106">
      <c r="A106" s="18" t="inlineStr">
        <is>
          <t>HYP-03</t>
        </is>
      </c>
      <c r="B106" s="19" t="inlineStr">
        <is>
          <t>Hyperkalemia module</t>
        </is>
      </c>
      <c r="C106" s="19" t="inlineStr"/>
      <c r="D106" s="20" t="inlineStr">
        <is>
          <t>Amplitude is unaffected by that decimation — the signal is low-passed at 25 Hz, so an effective 250 Hz is 10× Nyquist and R-wave</t>
        </is>
      </c>
      <c r="E106" s="20" t="inlineStr">
        <is>
          <t>height is preserved. Compare peak-to-peak against the 12-Lead view of the same signal.</t>
        </is>
      </c>
      <c r="F106" s="20" t="inlineStr"/>
      <c r="G106" s="20" t="inlineStr"/>
      <c r="H106" s="20" t="inlineStr"/>
      <c r="I106" s="20" t="inlineStr"/>
      <c r="J106" s="20" t="inlineStr"/>
    </row>
    <row r="107">
      <c r="A107" s="21" t="inlineStr">
        <is>
          <t>HYP-04</t>
        </is>
      </c>
      <c r="B107" s="22" t="inlineStr">
        <is>
          <t>Hyperkalemia module</t>
        </is>
      </c>
      <c r="C107" s="22" t="inlineStr"/>
      <c r="D107" s="23" t="inlineStr">
        <is>
          <t>Baseline follower works</t>
        </is>
      </c>
      <c r="E107" s="23" t="inlineStr">
        <is>
          <t>Over a 10-minute run the trace stays vertically centred. A trace drifting off-centre means the anchor is being measured once and locked instead of using the slow exponential follower (α = 0.0005) plus DC removal.</t>
        </is>
      </c>
      <c r="F107" s="23" t="inlineStr"/>
      <c r="G107" s="23" t="inlineStr"/>
      <c r="H107" s="23" t="inlineStr"/>
      <c r="I107" s="23" t="inlineStr"/>
      <c r="J107" s="23" t="inlineStr"/>
    </row>
    <row r="108">
      <c r="A108" s="18" t="inlineStr">
        <is>
          <t>HYP-05</t>
        </is>
      </c>
      <c r="B108" s="19" t="inlineStr">
        <is>
          <t>Hyperkalemia module</t>
        </is>
      </c>
      <c r="C108" s="19" t="inlineStr"/>
      <c r="D108" s="20" t="inlineStr">
        <is>
          <t>Lead-off latching</t>
        </is>
      </c>
      <c r="E108" s="20" t="inlineStr">
        <is>
          <t>A brief motion artifact must not blank a lead. A verdict latches only after 0.5 s of continuous agreement and releases after 0.2 s.</t>
        </is>
      </c>
      <c r="F108" s="20" t="inlineStr"/>
      <c r="G108" s="20" t="inlineStr"/>
      <c r="H108" s="20" t="inlineStr"/>
      <c r="I108" s="20" t="inlineStr"/>
      <c r="J108" s="20" t="inlineStr"/>
    </row>
    <row r="109">
      <c r="A109" s="21" t="inlineStr">
        <is>
          <t>HYP-06</t>
        </is>
      </c>
      <c r="B109" s="22" t="inlineStr">
        <is>
          <t>Hyperkalemia module</t>
        </is>
      </c>
      <c r="C109" s="22" t="inlineStr"/>
      <c r="D109" s="23" t="inlineStr">
        <is>
          <t>Estimated K⁺ is computed and displayed; metrics zero out on full lead disconnection with the same red warning label as HRV</t>
        </is>
      </c>
      <c r="E109" s="23" t="inlineStr"/>
      <c r="F109" s="23" t="inlineStr"/>
      <c r="G109" s="23" t="inlineStr"/>
      <c r="H109" s="23" t="inlineStr"/>
      <c r="I109" s="23" t="inlineStr"/>
      <c r="J109" s="23" t="inlineStr"/>
    </row>
    <row r="110">
      <c r="A110" s="18" t="inlineStr">
        <is>
          <t>HYP-07</t>
        </is>
      </c>
      <c r="B110" s="19" t="inlineStr">
        <is>
          <t>Hyperkalemia module</t>
        </is>
      </c>
      <c r="C110" s="19" t="inlineStr"/>
      <c r="D110" s="20" t="inlineStr">
        <is>
          <t>Filters fixed at AC 50 Hz / EMG 25 Hz / baseline 0.5 Hz, independent of the settings screen</t>
        </is>
      </c>
      <c r="E110" s="20" t="inlineStr"/>
      <c r="F110" s="20" t="inlineStr"/>
      <c r="G110" s="20" t="inlineStr"/>
      <c r="H110" s="20" t="inlineStr"/>
      <c r="I110" s="20" t="inlineStr"/>
      <c r="J110" s="20" t="inlineStr"/>
    </row>
    <row r="111">
      <c r="A111" s="21" t="inlineStr">
        <is>
          <t>HYP-08</t>
        </is>
      </c>
      <c r="B111" s="22" t="inlineStr">
        <is>
          <t>Hyperkalemia module</t>
        </is>
      </c>
      <c r="C111" s="22" t="inlineStr"/>
      <c r="D111" s="23" t="inlineStr">
        <is>
          <t>Non-finite samples are sanitised before setData — the trace never breaks</t>
        </is>
      </c>
      <c r="E111" s="23" t="inlineStr"/>
      <c r="F111" s="23" t="inlineStr"/>
      <c r="G111" s="23" t="inlineStr"/>
      <c r="H111" s="23" t="inlineStr"/>
      <c r="I111" s="23" t="inlineStr"/>
      <c r="J111" s="23" t="inlineStr"/>
    </row>
    <row r="112">
      <c r="A112" s="18" t="inlineStr">
        <is>
          <t>HYP-09</t>
        </is>
      </c>
      <c r="B112" s="19" t="inlineStr">
        <is>
          <t>Hyperkalemia module</t>
        </is>
      </c>
      <c r="C112" s="19" t="inlineStr"/>
      <c r="D112" s="20" t="inlineStr">
        <is>
          <t>Trace colour #00FF00 at 2.0 px</t>
        </is>
      </c>
      <c r="E112" s="20" t="inlineStr"/>
      <c r="F112" s="20" t="inlineStr"/>
      <c r="G112" s="20" t="inlineStr"/>
      <c r="H112" s="20" t="inlineStr"/>
      <c r="I112" s="20" t="inlineStr"/>
      <c r="J112" s="20" t="inlineStr"/>
    </row>
    <row r="113">
      <c r="A113" s="21" t="inlineStr">
        <is>
          <t>HYP-10</t>
        </is>
      </c>
      <c r="B113" s="22" t="inlineStr">
        <is>
          <t>Hyperkalemia module</t>
        </is>
      </c>
      <c r="C113" s="22" t="inlineStr"/>
      <c r="D113" s="23" t="inlineStr">
        <is>
          <t>Capture is cheap</t>
        </is>
      </c>
      <c r="E113" s="23" t="inlineStr">
        <is>
          <t>Under Task Manager during capture, CPU is materially below the old build. The buffer path is index-addressed rings, not per-sample np.roll (which copied a 10,000-element buffer 500×/s × 7 leads ≈ 40 M element moves per second).</t>
        </is>
      </c>
      <c r="F113" s="23" t="inlineStr"/>
      <c r="G113" s="23" t="inlineStr"/>
      <c r="H113" s="23" t="inlineStr"/>
      <c r="I113" s="23" t="inlineStr"/>
      <c r="J113" s="23" t="inlineStr"/>
    </row>
    <row r="114" ht="20" customHeight="1">
      <c r="A114" s="17" t="inlineStr">
        <is>
          <t xml:space="preserve">  Reports &amp; PDF</t>
        </is>
      </c>
    </row>
    <row r="115">
      <c r="A115" s="21" t="inlineStr">
        <is>
          <t>RPT-01</t>
        </is>
      </c>
      <c r="B115" s="22" t="inlineStr">
        <is>
          <t>Reports &amp; PDF</t>
        </is>
      </c>
      <c r="C115" s="22" t="inlineStr"/>
      <c r="D115" s="23" t="inlineStr">
        <is>
          <t>A 12-Lead report generates and opens in the in-app preview</t>
        </is>
      </c>
      <c r="E115" s="23" t="inlineStr"/>
      <c r="F115" s="23" t="inlineStr"/>
      <c r="G115" s="23" t="inlineStr"/>
      <c r="H115" s="23" t="inlineStr"/>
      <c r="I115" s="23" t="inlineStr"/>
      <c r="J115" s="23" t="inlineStr"/>
    </row>
    <row r="116">
      <c r="A116" s="18" t="inlineStr">
        <is>
          <t>RPT-02</t>
        </is>
      </c>
      <c r="B116" s="19" t="inlineStr">
        <is>
          <t>Reports &amp; PDF</t>
        </is>
      </c>
      <c r="C116" s="19" t="inlineStr"/>
      <c r="D116" s="20" t="inlineStr">
        <is>
          <t>The PDF lands in %LOCALAPPDATA%\Deckmount\CardioX\reports\ with the &lt;DEVICE&gt;_&lt;YYYYMMDD&gt;_&lt;HHMMSS&gt; naming convention</t>
        </is>
      </c>
      <c r="E116" s="20" t="inlineStr"/>
      <c r="F116" s="20" t="inlineStr"/>
      <c r="G116" s="20" t="inlineStr"/>
      <c r="H116" s="20" t="inlineStr"/>
      <c r="I116" s="20" t="inlineStr"/>
      <c r="J116" s="20" t="inlineStr"/>
    </row>
    <row r="117">
      <c r="A117" s="21" t="inlineStr">
        <is>
          <t>RPT-03</t>
        </is>
      </c>
      <c r="B117" s="22" t="inlineStr">
        <is>
          <t>Reports &amp; PDF</t>
        </is>
      </c>
      <c r="C117" s="22" t="inlineStr"/>
      <c r="D117" s="23" t="inlineStr">
        <is>
          <t>Patient name, age, gender, date/time, organisation block and doctor block are all correct and none overflow their boxes</t>
        </is>
      </c>
      <c r="E117" s="23" t="inlineStr"/>
      <c r="F117" s="23" t="inlineStr"/>
      <c r="G117" s="23" t="inlineStr"/>
      <c r="H117" s="23" t="inlineStr"/>
      <c r="I117" s="23" t="inlineStr"/>
      <c r="J117" s="23" t="inlineStr"/>
    </row>
    <row r="118">
      <c r="A118" s="18" t="inlineStr">
        <is>
          <t>RPT-04</t>
        </is>
      </c>
      <c r="B118" s="19" t="inlineStr">
        <is>
          <t>Reports &amp; PDF</t>
        </is>
      </c>
      <c r="C118" s="19" t="inlineStr"/>
      <c r="D118" s="20" t="inlineStr">
        <is>
          <t>Grid geometry:</t>
        </is>
      </c>
      <c r="E118" s="20" t="inlineStr">
        <is>
          <t>1 mm minor / 5 mm major, 25 mm/s, 10 mm/mV, and the 1 mV calibration pulse is present on every strip.</t>
        </is>
      </c>
      <c r="F118" s="20" t="inlineStr"/>
      <c r="G118" s="20" t="inlineStr"/>
      <c r="H118" s="20" t="inlineStr"/>
      <c r="I118" s="20" t="inlineStr"/>
      <c r="J118" s="20" t="inlineStr"/>
    </row>
    <row r="119">
      <c r="A119" s="21" t="inlineStr">
        <is>
          <t>RPT-05</t>
        </is>
      </c>
      <c r="B119" s="22" t="inlineStr">
        <is>
          <t>Reports &amp; PDF</t>
        </is>
      </c>
      <c r="C119" s="22" t="inlineStr"/>
      <c r="D119" s="23" t="inlineStr">
        <is>
          <t>No edge tapers</t>
        </is>
      </c>
      <c r="E119" s="23" t="inlineStr">
        <is>
          <t>Inspect the first and last 200 ms of every strip. Amplitude at the edges must match the interior. stabilize_report_edges() used to cross-fade the first/last 140–180 ms to baseline, printing a beat 60 ms from the end at 14 % of its true height.</t>
        </is>
      </c>
      <c r="F119" s="23" t="inlineStr"/>
      <c r="G119" s="23" t="inlineStr"/>
      <c r="H119" s="23" t="inlineStr"/>
      <c r="I119" s="23" t="inlineStr"/>
      <c r="J119" s="23" t="inlineStr"/>
    </row>
    <row r="120">
      <c r="A120" s="18" t="inlineStr">
        <is>
          <t>RPT-06</t>
        </is>
      </c>
      <c r="B120" s="19" t="inlineStr">
        <is>
          <t>Reports &amp; PDF</t>
        </is>
      </c>
      <c r="C120" s="19" t="inlineStr"/>
      <c r="D120" s="20" t="inlineStr">
        <is>
          <t>6×2 strips are not trimmed</t>
        </is>
      </c>
      <c r="E120" s="20" t="inlineStr">
        <is>
          <t>5000 samples recorded must be 5000 samples printed. The two noise-triggered trims and the unconditional 3 %-per-side hard trim (up to 16 % loss on clean traces) are gone, and neither end is faded.</t>
        </is>
      </c>
      <c r="F120" s="20" t="inlineStr"/>
      <c r="G120" s="20" t="inlineStr"/>
      <c r="H120" s="20" t="inlineStr"/>
      <c r="I120" s="20" t="inlineStr"/>
      <c r="J120" s="20" t="inlineStr"/>
    </row>
    <row r="121">
      <c r="A121" s="21" t="inlineStr">
        <is>
          <t>RPT-07</t>
        </is>
      </c>
      <c r="B121" s="22" t="inlineStr">
        <is>
          <t>Reports &amp; PDF</t>
        </is>
      </c>
      <c r="C121" s="22" t="inlineStr"/>
      <c r="D121" s="23" t="inlineStr">
        <is>
          <t>HRV report strips are taper-free</t>
        </is>
      </c>
      <c r="E121" s="23" t="inlineStr"/>
      <c r="F121" s="23" t="inlineStr"/>
      <c r="G121" s="23" t="inlineStr"/>
      <c r="H121" s="23" t="inlineStr"/>
      <c r="I121" s="23" t="inlineStr"/>
      <c r="J121" s="23" t="inlineStr"/>
    </row>
    <row r="122">
      <c r="A122" s="18" t="inlineStr">
        <is>
          <t>RPT-08</t>
        </is>
      </c>
      <c r="B122" s="19" t="inlineStr">
        <is>
          <t>Reports &amp; PDF</t>
        </is>
      </c>
      <c r="C122" s="19" t="inlineStr"/>
      <c r="D122" s="20" t="inlineStr">
        <is>
          <t>Hyperkalemia report strips are taper-free</t>
        </is>
      </c>
      <c r="E122" s="20" t="inlineStr"/>
      <c r="F122" s="20" t="inlineStr"/>
      <c r="G122" s="20" t="inlineStr"/>
      <c r="H122" s="20" t="inlineStr"/>
      <c r="I122" s="20" t="inlineStr"/>
      <c r="J122" s="20" t="inlineStr"/>
    </row>
    <row r="123">
      <c r="A123" s="21" t="inlineStr">
        <is>
          <t>RPT-09</t>
        </is>
      </c>
      <c r="B123" s="22" t="inlineStr">
        <is>
          <t>Reports &amp; PDF</t>
        </is>
      </c>
      <c r="C123" s="22" t="inlineStr"/>
      <c r="D123" s="23" t="inlineStr">
        <is>
          <t>Mains notch is always applied</t>
        </is>
      </c>
      <c r="E123" s="23" t="inlineStr">
        <is>
          <t>Every generated report shows the AC filter as active (50 Hz). The AC setting used to be read from settings in ten places across two generators, half defaulting to off, so a report could print with no mains notch at all.</t>
        </is>
      </c>
      <c r="F123" s="23" t="inlineStr"/>
      <c r="G123" s="23" t="inlineStr"/>
      <c r="H123" s="23" t="inlineStr"/>
      <c r="I123" s="23" t="inlineStr"/>
      <c r="J123" s="23" t="inlineStr"/>
    </row>
    <row r="124">
      <c r="A124" s="18" t="inlineStr">
        <is>
          <t>RPT-10</t>
        </is>
      </c>
      <c r="B124" s="19" t="inlineStr">
        <is>
          <t>Reports &amp; PDF</t>
        </is>
      </c>
      <c r="C124" s="19" t="inlineStr"/>
      <c r="D124" s="20" t="inlineStr">
        <is>
          <t>Hyperkalemia report page-2 landscape layout matches the reference:</t>
        </is>
      </c>
      <c r="E124" s="20" t="inlineStr">
        <is>
          <t>patient-info X offset 11.85, org contact block at X 579 / Y 546.40, vital parameter columns and the doctor signature footer all aligned.</t>
        </is>
      </c>
      <c r="F124" s="20" t="inlineStr"/>
      <c r="G124" s="20" t="inlineStr"/>
      <c r="H124" s="20" t="inlineStr"/>
      <c r="I124" s="20" t="inlineStr"/>
      <c r="J124" s="20" t="inlineStr"/>
    </row>
    <row r="125">
      <c r="A125" s="21" t="inlineStr">
        <is>
          <t>RPT-11</t>
        </is>
      </c>
      <c r="B125" s="22" t="inlineStr">
        <is>
          <t>Reports &amp; PDF</t>
        </is>
      </c>
      <c r="C125" s="22" t="inlineStr"/>
      <c r="D125" s="23" t="inlineStr">
        <is>
          <t>Phone numbers print as +91-XXXXXXXXXX only for exactly 10 digits; other lengths print raw rather than malformed</t>
        </is>
      </c>
      <c r="E125" s="23" t="inlineStr"/>
      <c r="F125" s="23" t="inlineStr"/>
      <c r="G125" s="23" t="inlineStr"/>
      <c r="H125" s="23" t="inlineStr"/>
      <c r="I125" s="23" t="inlineStr"/>
      <c r="J125" s="23" t="inlineStr"/>
    </row>
    <row r="126">
      <c r="A126" s="18" t="inlineStr">
        <is>
          <t>RPT-12</t>
        </is>
      </c>
      <c r="B126" s="19" t="inlineStr">
        <is>
          <t>Reports &amp; PDF</t>
        </is>
      </c>
      <c r="C126" s="19" t="inlineStr"/>
      <c r="D126" s="20" t="inlineStr">
        <is>
          <t>Conclusions:</t>
        </is>
      </c>
      <c r="E126" s="20" t="inlineStr">
        <is>
          <t>at most 5, no placeholders or ---, no duplicates, NSR suppressed when a severe pathology is listed.</t>
        </is>
      </c>
      <c r="F126" s="20" t="inlineStr"/>
      <c r="G126" s="20" t="inlineStr"/>
      <c r="H126" s="20" t="inlineStr"/>
      <c r="I126" s="20" t="inlineStr"/>
      <c r="J126" s="20" t="inlineStr"/>
    </row>
    <row r="127">
      <c r="A127" s="21" t="inlineStr">
        <is>
          <t>RPT-13</t>
        </is>
      </c>
      <c r="B127" s="22" t="inlineStr">
        <is>
          <t>Reports &amp; PDF</t>
        </is>
      </c>
      <c r="C127" s="22" t="inlineStr"/>
      <c r="D127" s="23" t="inlineStr">
        <is>
          <t>A report generated at 0 BPM prints "No ECG data available" rather than a false interpretation</t>
        </is>
      </c>
      <c r="E127" s="23" t="inlineStr"/>
      <c r="F127" s="23" t="inlineStr"/>
      <c r="G127" s="23" t="inlineStr"/>
      <c r="H127" s="23" t="inlineStr"/>
      <c r="I127" s="23" t="inlineStr"/>
      <c r="J127" s="23" t="inlineStr"/>
    </row>
    <row r="128">
      <c r="A128" s="18" t="inlineStr">
        <is>
          <t>RPT-14</t>
        </is>
      </c>
      <c r="B128" s="19" t="inlineStr">
        <is>
          <t>Reports &amp; PDF</t>
        </is>
      </c>
      <c r="C128" s="19" t="inlineStr"/>
      <c r="D128" s="20" t="inlineStr">
        <is>
          <t>QTc warnings appear at the 440 / 460 / 500 ms thresholds, inserted first and never doubled</t>
        </is>
      </c>
      <c r="E128" s="20" t="inlineStr"/>
      <c r="F128" s="20" t="inlineStr"/>
      <c r="G128" s="20" t="inlineStr"/>
      <c r="H128" s="20" t="inlineStr"/>
      <c r="I128" s="20" t="inlineStr"/>
      <c r="J128" s="20" t="inlineStr"/>
    </row>
    <row r="129">
      <c r="A129" s="21" t="inlineStr">
        <is>
          <t>RPT-15</t>
        </is>
      </c>
      <c r="B129" s="22" t="inlineStr">
        <is>
          <t>Reports &amp; PDF</t>
        </is>
      </c>
      <c r="C129" s="22" t="inlineStr"/>
      <c r="D129" s="23" t="inlineStr">
        <is>
          <t>Arrhythmia classification is a real diagnosis, not "Rhythm Undetermined", on a signal known to contain one</t>
        </is>
      </c>
      <c r="E129" s="23" t="inlineStr">
        <is>
          <t>A blanket "Undetermined" in the frozen build but not in dev means clinical_config.yaml or PyYAML failed to bundle — go back to BLD-08.</t>
        </is>
      </c>
      <c r="F129" s="23" t="inlineStr"/>
      <c r="G129" s="23" t="inlineStr"/>
      <c r="H129" s="23" t="inlineStr"/>
      <c r="I129" s="23" t="inlineStr"/>
      <c r="J129" s="23" t="inlineStr"/>
    </row>
    <row r="130">
      <c r="A130" s="18" t="inlineStr">
        <is>
          <t>RPT-16</t>
        </is>
      </c>
      <c r="B130" s="19" t="inlineStr">
        <is>
          <t>Reports &amp; PDF</t>
        </is>
      </c>
      <c r="C130" s="19" t="inlineStr"/>
      <c r="D130" s="20" t="inlineStr">
        <is>
          <t>The PDF opens correctly in Adobe Reader, Edge and Chrome, and prints on A4 at 100 % scale with the grid measuring a true 5 mm per</t>
        </is>
      </c>
      <c r="E130" s="20" t="inlineStr">
        <is>
          <t>large box on the paper.</t>
        </is>
      </c>
      <c r="F130" s="20" t="inlineStr"/>
      <c r="G130" s="20" t="inlineStr"/>
      <c r="H130" s="20" t="inlineStr"/>
      <c r="I130" s="20" t="inlineStr"/>
      <c r="J130" s="20" t="inlineStr"/>
    </row>
    <row r="131">
      <c r="A131" s="21" t="inlineStr">
        <is>
          <t>RPT-17</t>
        </is>
      </c>
      <c r="B131" s="22" t="inlineStr">
        <is>
          <t>Reports &amp; PDF</t>
        </is>
      </c>
      <c r="C131" s="22" t="inlineStr"/>
      <c r="D131" s="23" t="inlineStr">
        <is>
          <t>Generating 10 reports back to back produces 10 distinct files with no filename collisions and no memory growth</t>
        </is>
      </c>
      <c r="E131" s="23" t="inlineStr"/>
      <c r="F131" s="23" t="inlineStr"/>
      <c r="G131" s="23" t="inlineStr"/>
      <c r="H131" s="23" t="inlineStr"/>
      <c r="I131" s="23" t="inlineStr"/>
      <c r="J131" s="23" t="inlineStr"/>
    </row>
    <row r="132" ht="20" customHeight="1">
      <c r="A132" s="17" t="inlineStr">
        <is>
          <t xml:space="preserve">  History</t>
        </is>
      </c>
    </row>
    <row r="133">
      <c r="A133" s="21" t="inlineStr">
        <is>
          <t>HIS-01</t>
        </is>
      </c>
      <c r="B133" s="22" t="inlineStr">
        <is>
          <t>History</t>
        </is>
      </c>
      <c r="C133" s="22" t="inlineStr"/>
      <c r="D133" s="23" t="inlineStr">
        <is>
          <t>History window lists past reports, newest first</t>
        </is>
      </c>
      <c r="E133" s="23" t="inlineStr"/>
      <c r="F133" s="23" t="inlineStr"/>
      <c r="G133" s="23" t="inlineStr"/>
      <c r="H133" s="23" t="inlineStr"/>
      <c r="I133" s="23" t="inlineStr"/>
      <c r="J133" s="23" t="inlineStr"/>
    </row>
    <row r="134">
      <c r="A134" s="18" t="inlineStr">
        <is>
          <t>HIS-02</t>
        </is>
      </c>
      <c r="B134" s="19" t="inlineStr">
        <is>
          <t>History</t>
        </is>
      </c>
      <c r="C134" s="19" t="inlineStr"/>
      <c r="D134" s="20" t="inlineStr">
        <is>
          <t>Table has exactly 9 columns and no horizontal scrollbar at default window size</t>
        </is>
      </c>
      <c r="E134" s="20" t="inlineStr">
        <is>
          <t>The "Findings" column was deliberately removed.</t>
        </is>
      </c>
      <c r="F134" s="20" t="inlineStr"/>
      <c r="G134" s="20" t="inlineStr"/>
      <c r="H134" s="20" t="inlineStr"/>
      <c r="I134" s="20" t="inlineStr"/>
      <c r="J134" s="20" t="inlineStr"/>
    </row>
    <row r="135">
      <c r="A135" s="21" t="inlineStr">
        <is>
          <t>HIS-03</t>
        </is>
      </c>
      <c r="B135" s="22" t="inlineStr">
        <is>
          <t>History</t>
        </is>
      </c>
      <c r="C135" s="22" t="inlineStr"/>
      <c r="D135" s="23" t="inlineStr">
        <is>
          <t>Findings text is still visible inside the in-app PDF preview panel</t>
        </is>
      </c>
      <c r="E135" s="23" t="inlineStr"/>
      <c r="F135" s="23" t="inlineStr"/>
      <c r="G135" s="23" t="inlineStr"/>
      <c r="H135" s="23" t="inlineStr"/>
      <c r="I135" s="23" t="inlineStr"/>
      <c r="J135" s="23" t="inlineStr"/>
    </row>
    <row r="136">
      <c r="A136" s="18" t="inlineStr">
        <is>
          <t>HIS-04</t>
        </is>
      </c>
      <c r="B136" s="19" t="inlineStr">
        <is>
          <t>History</t>
        </is>
      </c>
      <c r="C136" s="19" t="inlineStr"/>
      <c r="D136" s="20" t="inlineStr">
        <is>
          <t>Search is case-insensitive and safe against Unicode and special characters</t>
        </is>
      </c>
      <c r="E136" s="20" t="inlineStr"/>
      <c r="F136" s="20" t="inlineStr"/>
      <c r="G136" s="20" t="inlineStr"/>
      <c r="H136" s="20" t="inlineStr"/>
      <c r="I136" s="20" t="inlineStr"/>
      <c r="J136" s="20" t="inlineStr"/>
    </row>
    <row r="137">
      <c r="A137" s="21" t="inlineStr">
        <is>
          <t>HIS-05</t>
        </is>
      </c>
      <c r="B137" s="22" t="inlineStr">
        <is>
          <t>History</t>
        </is>
      </c>
      <c r="C137" s="22" t="inlineStr"/>
      <c r="D137" s="23" t="inlineStr">
        <is>
          <t>Malformed or partial dates in ecg_history.json sort safely instead of throwing</t>
        </is>
      </c>
      <c r="E137" s="23" t="inlineStr"/>
      <c r="F137" s="23" t="inlineStr"/>
      <c r="G137" s="23" t="inlineStr"/>
      <c r="H137" s="23" t="inlineStr"/>
      <c r="I137" s="23" t="inlineStr"/>
      <c r="J137" s="23" t="inlineStr"/>
    </row>
    <row r="138">
      <c r="A138" s="18" t="inlineStr">
        <is>
          <t>HIS-06</t>
        </is>
      </c>
      <c r="B138" s="19" t="inlineStr">
        <is>
          <t>History</t>
        </is>
      </c>
      <c r="C138" s="19" t="inlineStr"/>
      <c r="D138" s="20" t="inlineStr">
        <is>
          <t>Report type is inferred correctly from the filename (hyperkalemia, hrv, holter, analysis, default ecg)</t>
        </is>
      </c>
      <c r="E138" s="20" t="inlineStr"/>
      <c r="F138" s="20" t="inlineStr"/>
      <c r="G138" s="20" t="inlineStr"/>
      <c r="H138" s="20" t="inlineStr"/>
      <c r="I138" s="20" t="inlineStr"/>
      <c r="J138" s="20" t="inlineStr"/>
    </row>
    <row r="139">
      <c r="A139" s="21" t="inlineStr">
        <is>
          <t>HIS-07</t>
        </is>
      </c>
      <c r="B139" s="22" t="inlineStr">
        <is>
          <t>History</t>
        </is>
      </c>
      <c r="C139" s="22" t="inlineStr"/>
      <c r="D139" s="23" t="inlineStr">
        <is>
          <t>Opening a row loads the PDF in the preview panel</t>
        </is>
      </c>
      <c r="E139" s="23" t="inlineStr"/>
      <c r="F139" s="23" t="inlineStr"/>
      <c r="G139" s="23" t="inlineStr"/>
      <c r="H139" s="23" t="inlineStr"/>
      <c r="I139" s="23" t="inlineStr"/>
      <c r="J139" s="23" t="inlineStr"/>
    </row>
    <row r="140">
      <c r="A140" s="18" t="inlineStr">
        <is>
          <t>HIS-08</t>
        </is>
      </c>
      <c r="B140" s="19" t="inlineStr">
        <is>
          <t>History</t>
        </is>
      </c>
      <c r="C140" s="19" t="inlineStr"/>
      <c r="D140" s="20" t="inlineStr">
        <is>
          <t>The shortcuts sheet lists only bindings that actually work (see HRV-12)</t>
        </is>
      </c>
      <c r="E140" s="20" t="inlineStr"/>
      <c r="F140" s="20" t="inlineStr"/>
      <c r="G140" s="20" t="inlineStr"/>
      <c r="H140" s="20" t="inlineStr"/>
      <c r="I140" s="20" t="inlineStr"/>
      <c r="J140" s="20" t="inlineStr"/>
    </row>
    <row r="141" ht="20" customHeight="1">
      <c r="A141" s="17" t="inlineStr">
        <is>
          <t xml:space="preserve">  Cloud sync &amp; offline queue</t>
        </is>
      </c>
    </row>
    <row r="142">
      <c r="A142" s="18" t="inlineStr">
        <is>
          <t>CLD-01</t>
        </is>
      </c>
      <c r="B142" s="19" t="inlineStr">
        <is>
          <t>Cloud sync &amp; offline queue</t>
        </is>
      </c>
      <c r="C142" s="19" t="inlineStr"/>
      <c r="D142" s="20" t="inlineStr">
        <is>
          <t>With the network up, ECG data offloads to S3 on the background thread roughly every 15 seconds; the UI never blocks during upload</t>
        </is>
      </c>
      <c r="E142" s="20" t="inlineStr"/>
      <c r="F142" s="20" t="inlineStr"/>
      <c r="G142" s="20" t="inlineStr"/>
      <c r="H142" s="20" t="inlineStr"/>
      <c r="I142" s="20" t="inlineStr"/>
      <c r="J142" s="20" t="inlineStr"/>
    </row>
    <row r="143">
      <c r="A143" s="21" t="inlineStr">
        <is>
          <t>CLD-02</t>
        </is>
      </c>
      <c r="B143" s="22" t="inlineStr">
        <is>
          <t>Cloud sync &amp; offline queue</t>
        </is>
      </c>
      <c r="C143" s="22" t="inlineStr"/>
      <c r="D143" s="23" t="inlineStr">
        <is>
          <t>Offline capture queues, never loses</t>
        </is>
      </c>
      <c r="E143" s="23" t="inlineStr">
        <is>
          <t>Disconnect the network, record a full session, generate a report. The payload appears in offline_queue\pending\.</t>
        </is>
      </c>
      <c r="F143" s="23" t="inlineStr"/>
      <c r="G143" s="23" t="inlineStr"/>
      <c r="H143" s="23" t="inlineStr"/>
      <c r="I143" s="23" t="inlineStr"/>
      <c r="J143" s="23" t="inlineStr"/>
    </row>
    <row r="144">
      <c r="A144" s="18" t="inlineStr">
        <is>
          <t>CLD-03</t>
        </is>
      </c>
      <c r="B144" s="19" t="inlineStr">
        <is>
          <t>Cloud sync &amp; offline queue</t>
        </is>
      </c>
      <c r="C144" s="19" t="inlineStr"/>
      <c r="D144" s="20" t="inlineStr">
        <is>
          <t>Reconnecting the network drains pending\ into synced\ automatically, with no user action</t>
        </is>
      </c>
      <c r="E144" s="20" t="inlineStr"/>
      <c r="F144" s="20" t="inlineStr"/>
      <c r="G144" s="20" t="inlineStr"/>
      <c r="H144" s="20" t="inlineStr"/>
      <c r="I144" s="20" t="inlineStr"/>
      <c r="J144" s="20" t="inlineStr"/>
    </row>
    <row r="145">
      <c r="A145" s="21" t="inlineStr">
        <is>
          <t>CLD-04</t>
        </is>
      </c>
      <c r="B145" s="22" t="inlineStr">
        <is>
          <t>Cloud sync &amp; offline queue</t>
        </is>
      </c>
      <c r="C145" s="22" t="inlineStr"/>
      <c r="D145" s="23" t="inlineStr">
        <is>
          <t>A deliberately corrupted payload lands in offline_queue\failed\ rather than blocking the queue</t>
        </is>
      </c>
      <c r="E145" s="23" t="inlineStr"/>
      <c r="F145" s="23" t="inlineStr"/>
      <c r="G145" s="23" t="inlineStr"/>
      <c r="H145" s="23" t="inlineStr"/>
      <c r="I145" s="23" t="inlineStr"/>
      <c r="J145" s="23" t="inlineStr"/>
    </row>
    <row r="146">
      <c r="A146" s="18" t="inlineStr">
        <is>
          <t>CLD-05</t>
        </is>
      </c>
      <c r="B146" s="19" t="inlineStr">
        <is>
          <t>Cloud sync &amp; offline queue</t>
        </is>
      </c>
      <c r="C146" s="19" t="inlineStr"/>
      <c r="D146" s="20" t="inlineStr">
        <is>
          <t>Retrying a failed item moves it back to pending\ and it then syncs</t>
        </is>
      </c>
      <c r="E146" s="20" t="inlineStr"/>
      <c r="F146" s="20" t="inlineStr"/>
      <c r="G146" s="20" t="inlineStr"/>
      <c r="H146" s="20" t="inlineStr"/>
      <c r="I146" s="20" t="inlineStr"/>
      <c r="J146" s="20" t="inlineStr"/>
    </row>
    <row r="147">
      <c r="A147" s="21" t="inlineStr">
        <is>
          <t>CLD-06</t>
        </is>
      </c>
      <c r="B147" s="22" t="inlineStr">
        <is>
          <t>Cloud sync &amp; offline queue</t>
        </is>
      </c>
      <c r="C147" s="22" t="inlineStr"/>
      <c r="D147" s="23" t="inlineStr">
        <is>
          <t>Killing the app mid-upload and restarting resumes the queue with no duplicate and no lost payload</t>
        </is>
      </c>
      <c r="E147" s="23" t="inlineStr"/>
      <c r="F147" s="23" t="inlineStr"/>
      <c r="G147" s="23" t="inlineStr"/>
      <c r="H147" s="23" t="inlineStr"/>
      <c r="I147" s="23" t="inlineStr"/>
      <c r="J147" s="23" t="inlineStr"/>
    </row>
    <row r="148">
      <c r="A148" s="18" t="inlineStr">
        <is>
          <t>CLD-07</t>
        </is>
      </c>
      <c r="B148" s="19" t="inlineStr">
        <is>
          <t>Cloud sync &amp; offline queue</t>
        </is>
      </c>
      <c r="C148" s="19" t="inlineStr"/>
      <c r="D148" s="20" t="inlineStr">
        <is>
          <t>The manual Cloud Sync dashboard button reports success/failure honestly</t>
        </is>
      </c>
      <c r="E148" s="20" t="inlineStr"/>
      <c r="F148" s="20" t="inlineStr"/>
      <c r="G148" s="20" t="inlineStr"/>
      <c r="H148" s="20" t="inlineStr"/>
      <c r="I148" s="20" t="inlineStr"/>
      <c r="J148" s="20" t="inlineStr"/>
    </row>
    <row r="149">
      <c r="A149" s="21" t="inlineStr">
        <is>
          <t>CLD-08</t>
        </is>
      </c>
      <c r="B149" s="22" t="inlineStr">
        <is>
          <t>Cloud sync &amp; offline queue</t>
        </is>
      </c>
      <c r="C149" s="22" t="inlineStr"/>
      <c r="D149" s="23" t="inlineStr">
        <is>
          <t>Queue statistics on the dashboard match the actual file counts on disk</t>
        </is>
      </c>
      <c r="E149" s="23" t="inlineStr"/>
      <c r="F149" s="23" t="inlineStr"/>
      <c r="G149" s="23" t="inlineStr"/>
      <c r="H149" s="23" t="inlineStr"/>
      <c r="I149" s="23" t="inlineStr"/>
      <c r="J149" s="23" t="inlineStr"/>
    </row>
    <row r="150" ht="20" customHeight="1">
      <c r="A150" s="17" t="inlineStr">
        <is>
          <t xml:space="preserve">  Doctor review upload</t>
        </is>
      </c>
    </row>
    <row r="151">
      <c r="A151" s="21" t="inlineStr">
        <is>
          <t>DRV-01</t>
        </is>
      </c>
      <c r="B151" s="22" t="inlineStr">
        <is>
          <t>Doctor review upload</t>
        </is>
      </c>
      <c r="C151" s="22" t="inlineStr"/>
      <c r="D151" s="23" t="inlineStr">
        <is>
          <t>Sending a report for doctor review returns success, not 404</t>
        </is>
      </c>
      <c r="E151" s="23" t="inlineStr"/>
      <c r="F151" s="23" t="inlineStr"/>
      <c r="G151" s="23" t="inlineStr"/>
      <c r="H151" s="23" t="inlineStr"/>
      <c r="I151" s="23" t="inlineStr"/>
      <c r="J151" s="23" t="inlineStr"/>
    </row>
    <row r="152">
      <c r="A152" s="18" t="inlineStr">
        <is>
          <t>DRV-02</t>
        </is>
      </c>
      <c r="B152" s="19" t="inlineStr">
        <is>
          <t>Doctor review upload</t>
        </is>
      </c>
      <c r="C152" s="19" t="inlineStr"/>
      <c r="D152" s="20" t="inlineStr">
        <is>
          <t>Identity comes from the filename, not from upload-time state</t>
        </is>
      </c>
      <c r="E152" s="20" t="inlineStr">
        <is>
          <t>Generate a report today, then change the system date forward two days (or wait) and upload it. The S3 key must use the date encoded in the filename, not datetime.now().</t>
        </is>
      </c>
      <c r="F152" s="20" t="inlineStr"/>
      <c r="G152" s="20" t="inlineStr"/>
      <c r="H152" s="20" t="inlineStr"/>
      <c r="I152" s="20" t="inlineStr"/>
      <c r="J152" s="20" t="inlineStr"/>
    </row>
    <row r="153">
      <c r="A153" s="21" t="inlineStr">
        <is>
          <t>DRV-03</t>
        </is>
      </c>
      <c r="B153" s="22" t="inlineStr">
        <is>
          <t>Doctor review upload</t>
        </is>
      </c>
      <c r="C153" s="22" t="inlineStr"/>
      <c r="D153" s="23" t="inlineStr">
        <is>
          <t>Generate a report with device A connected, disconnect it, connect device B, then upload</t>
        </is>
      </c>
      <c r="E153" s="23" t="inlineStr">
        <is>
          <t>The S3 key must use device A — the device parsed from the filename — and must never fall back to 0000.</t>
        </is>
      </c>
      <c r="F153" s="23" t="inlineStr"/>
      <c r="G153" s="23" t="inlineStr"/>
      <c r="H153" s="23" t="inlineStr"/>
      <c r="I153" s="23" t="inlineStr"/>
      <c r="J153" s="23" t="inlineStr"/>
    </row>
    <row r="154">
      <c r="A154" s="18" t="inlineStr">
        <is>
          <t>DRV-04</t>
        </is>
      </c>
      <c r="B154" s="19" t="inlineStr">
        <is>
          <t>Doctor review upload</t>
        </is>
      </c>
      <c r="C154" s="19" t="inlineStr"/>
      <c r="D154" s="20" t="inlineStr">
        <is>
          <t>send_for_doctor_review() sends a deviceId that matches the upload prefix exactly</t>
        </is>
      </c>
      <c r="E154" s="20" t="inlineStr">
        <is>
          <t>The upload path and the assignment cannot be allowed to disagree.</t>
        </is>
      </c>
      <c r="F154" s="20" t="inlineStr"/>
      <c r="G154" s="20" t="inlineStr"/>
      <c r="H154" s="20" t="inlineStr"/>
      <c r="I154" s="20" t="inlineStr"/>
      <c r="J154" s="20" t="inlineStr"/>
    </row>
    <row r="155">
      <c r="A155" s="21" t="inlineStr">
        <is>
          <t>DRV-05</t>
        </is>
      </c>
      <c r="B155" s="22" t="inlineStr">
        <is>
          <t>Doctor review upload</t>
        </is>
      </c>
      <c r="C155" s="22" t="inlineStr"/>
      <c r="D155" s="23" t="inlineStr">
        <is>
          <t>Retries do not multiply</t>
        </is>
      </c>
      <c r="E155" s="23" t="inlineStr">
        <is>
          <t>Force three retries of one report. Exactly one object exists in S3 afterwards. (The old build filed one report six times under the wrong prefix.)</t>
        </is>
      </c>
      <c r="F155" s="23" t="inlineStr"/>
      <c r="G155" s="23" t="inlineStr"/>
      <c r="H155" s="23" t="inlineStr"/>
      <c r="I155" s="23" t="inlineStr"/>
      <c r="J155" s="23" t="inlineStr"/>
    </row>
    <row r="156">
      <c r="A156" s="18" t="inlineStr">
        <is>
          <t>DRV-06</t>
        </is>
      </c>
      <c r="B156" s="19" t="inlineStr">
        <is>
          <t>Doctor review upload</t>
        </is>
      </c>
      <c r="C156" s="19" t="inlineStr"/>
      <c r="D156" s="20" t="inlineStr">
        <is>
          <t>All three accepted filename formats resolve correctly through _report_identity() / _report_location()</t>
        </is>
      </c>
      <c r="E156" s="20" t="inlineStr"/>
      <c r="F156" s="20" t="inlineStr"/>
      <c r="G156" s="20" t="inlineStr"/>
      <c r="H156" s="20" t="inlineStr"/>
      <c r="I156" s="20" t="inlineStr"/>
      <c r="J156" s="20" t="inlineStr"/>
    </row>
    <row r="157">
      <c r="A157" s="21" t="inlineStr">
        <is>
          <t>DRV-07</t>
        </is>
      </c>
      <c r="B157" s="22" t="inlineStr">
        <is>
          <t>Doctor review upload</t>
        </is>
      </c>
      <c r="C157" s="22" t="inlineStr"/>
      <c r="D157" s="23" t="inlineStr">
        <is>
          <t>The uploaded report is retrievable by the doctor-review backend, which matches on device id + timestamp parsed from the PDF</t>
        </is>
      </c>
      <c r="E157" s="23" t="inlineStr">
        <is>
          <t>filename and requires a matching database row.</t>
        </is>
      </c>
      <c r="F157" s="23" t="inlineStr"/>
      <c r="G157" s="23" t="inlineStr"/>
      <c r="H157" s="23" t="inlineStr"/>
      <c r="I157" s="23" t="inlineStr"/>
      <c r="J157" s="23" t="inlineStr"/>
    </row>
    <row r="158" ht="20" customHeight="1">
      <c r="A158" s="17" t="inlineStr">
        <is>
          <t xml:space="preserve">  Dashboard, settings &amp; auxiliary UI</t>
        </is>
      </c>
    </row>
    <row r="159">
      <c r="A159" s="21" t="inlineStr">
        <is>
          <t>DSH-01</t>
        </is>
      </c>
      <c r="B159" s="22" t="inlineStr">
        <is>
          <t>Dashboard, settings &amp; auxiliary UI</t>
        </is>
      </c>
      <c r="C159" s="22" t="inlineStr"/>
      <c r="D159" s="23" t="inlineStr">
        <is>
          <t>Dashboard shows:</t>
        </is>
      </c>
      <c r="E159" s="23" t="inlineStr">
        <is>
          <t>12-Lead ECG, HRV Test, Hyperkalemia Test, History, Waveform Analysis, AI Chatbot.</t>
        </is>
      </c>
      <c r="F159" s="23" t="inlineStr"/>
      <c r="G159" s="23" t="inlineStr"/>
      <c r="H159" s="23" t="inlineStr"/>
      <c r="I159" s="23" t="inlineStr"/>
      <c r="J159" s="23" t="inlineStr"/>
    </row>
    <row r="160">
      <c r="A160" s="18" t="inlineStr">
        <is>
          <t>DSH-02</t>
        </is>
      </c>
      <c r="B160" s="19" t="inlineStr">
        <is>
          <t>Dashboard, settings &amp; auxiliary UI</t>
        </is>
      </c>
      <c r="C160" s="19" t="inlineStr"/>
      <c r="D160" s="20" t="inlineStr">
        <is>
          <t>Comprehensive ECG (holter_btn) is hidden</t>
        </is>
      </c>
      <c r="E160" s="20" t="inlineStr">
        <is>
          <t>— the dashboard is intentionally focused on the core workflows.</t>
        </is>
      </c>
      <c r="F160" s="20" t="inlineStr"/>
      <c r="G160" s="20" t="inlineStr"/>
      <c r="H160" s="20" t="inlineStr"/>
      <c r="I160" s="20" t="inlineStr"/>
      <c r="J160" s="20" t="inlineStr"/>
    </row>
    <row r="161">
      <c r="A161" s="21" t="inlineStr">
        <is>
          <t>DSH-03</t>
        </is>
      </c>
      <c r="B161" s="22" t="inlineStr">
        <is>
          <t>Dashboard, settings &amp; auxiliary UI</t>
        </is>
      </c>
      <c r="C161" s="22" t="inlineStr"/>
      <c r="D161" s="23" t="inlineStr">
        <is>
          <t>Sticky metric cache invalidates</t>
        </is>
      </c>
      <c r="E161" s="23" t="inlineStr">
        <is>
          <t>Reconnect the device or drop to 0 BPM; the dashboard must not keep showing a stale PR (e.g. 151 ms) from the previous session.</t>
        </is>
      </c>
      <c r="F161" s="23" t="inlineStr"/>
      <c r="G161" s="23" t="inlineStr"/>
      <c r="H161" s="23" t="inlineStr"/>
      <c r="I161" s="23" t="inlineStr"/>
      <c r="J161" s="23" t="inlineStr"/>
    </row>
    <row r="162">
      <c r="A162" s="18" t="inlineStr">
        <is>
          <t>DSH-04</t>
        </is>
      </c>
      <c r="B162" s="19" t="inlineStr">
        <is>
          <t>Dashboard, settings &amp; auxiliary UI</t>
        </is>
      </c>
      <c r="C162" s="19" t="inlineStr"/>
      <c r="D162" s="20" t="inlineStr">
        <is>
          <t>At 0 BPM the interpretation box reads "Waiting for stable ECG data..." — never "Normal Sinus Rhythm" and never a PR status</t>
        </is>
      </c>
      <c r="E162" s="20" t="inlineStr"/>
      <c r="F162" s="20" t="inlineStr"/>
      <c r="G162" s="20" t="inlineStr"/>
      <c r="H162" s="20" t="inlineStr"/>
      <c r="I162" s="20" t="inlineStr"/>
      <c r="J162" s="20" t="inlineStr"/>
    </row>
    <row r="163">
      <c r="A163" s="21" t="inlineStr">
        <is>
          <t>DSH-05</t>
        </is>
      </c>
      <c r="B163" s="22" t="inlineStr">
        <is>
          <t>Dashboard, settings &amp; auxiliary UI</t>
        </is>
      </c>
      <c r="C163" s="22" t="inlineStr"/>
      <c r="D163" s="23" t="inlineStr">
        <is>
          <t>Medical Mode and Dark Mode toggle correctly and survive an app restart</t>
        </is>
      </c>
      <c r="E163" s="23" t="inlineStr"/>
      <c r="F163" s="23" t="inlineStr"/>
      <c r="G163" s="23" t="inlineStr"/>
      <c r="H163" s="23" t="inlineStr"/>
      <c r="I163" s="23" t="inlineStr"/>
      <c r="J163" s="23" t="inlineStr"/>
    </row>
    <row r="164">
      <c r="A164" s="18" t="inlineStr">
        <is>
          <t>DSH-06</t>
        </is>
      </c>
      <c r="B164" s="19" t="inlineStr">
        <is>
          <t>Dashboard, settings &amp; auxiliary UI</t>
        </is>
      </c>
      <c r="C164" s="19" t="inlineStr"/>
      <c r="D164" s="20" t="inlineStr">
        <is>
          <t>Doctor Profile saves and reloads; the saved name appears on generated reports</t>
        </is>
      </c>
      <c r="E164" s="20" t="inlineStr"/>
      <c r="F164" s="20" t="inlineStr"/>
      <c r="G164" s="20" t="inlineStr"/>
      <c r="H164" s="20" t="inlineStr"/>
      <c r="I164" s="20" t="inlineStr"/>
      <c r="J164" s="20" t="inlineStr"/>
    </row>
    <row r="165">
      <c r="A165" s="21" t="inlineStr">
        <is>
          <t>DSH-07</t>
        </is>
      </c>
      <c r="B165" s="22" t="inlineStr">
        <is>
          <t>Dashboard, settings &amp; auxiliary UI</t>
        </is>
      </c>
      <c r="C165" s="22" t="inlineStr"/>
      <c r="D165" s="23" t="inlineStr">
        <is>
          <t>Patient registration accepts a new patient and that patient appears in a subsequent report</t>
        </is>
      </c>
      <c r="E165" s="23" t="inlineStr"/>
      <c r="F165" s="23" t="inlineStr"/>
      <c r="G165" s="23" t="inlineStr"/>
      <c r="H165" s="23" t="inlineStr"/>
      <c r="I165" s="23" t="inlineStr"/>
      <c r="J165" s="23" t="inlineStr"/>
    </row>
    <row r="166">
      <c r="A166" s="18" t="inlineStr">
        <is>
          <t>DSH-08</t>
        </is>
      </c>
      <c r="B166" s="19" t="inlineStr">
        <is>
          <t>Dashboard, settings &amp; auxiliary UI</t>
        </is>
      </c>
      <c r="C166" s="19" t="inlineStr"/>
      <c r="D166" s="20" t="inlineStr">
        <is>
          <t>Version Information shows the APP_VERSION from BLD-01</t>
        </is>
      </c>
      <c r="E166" s="20" t="inlineStr"/>
      <c r="F166" s="20" t="inlineStr"/>
      <c r="G166" s="20" t="inlineStr"/>
      <c r="H166" s="20" t="inlineStr"/>
      <c r="I166" s="20" t="inlineStr"/>
      <c r="J166" s="20" t="inlineStr"/>
    </row>
    <row r="167">
      <c r="A167" s="21" t="inlineStr">
        <is>
          <t>DSH-09</t>
        </is>
      </c>
      <c r="B167" s="22" t="inlineStr">
        <is>
          <t>Dashboard, settings &amp; auxiliary UI</t>
        </is>
      </c>
      <c r="C167" s="22" t="inlineStr"/>
      <c r="D167" s="23" t="inlineStr">
        <is>
          <t>Help and Support opens without error</t>
        </is>
      </c>
      <c r="E167" s="23" t="inlineStr"/>
      <c r="F167" s="23" t="inlineStr"/>
      <c r="G167" s="23" t="inlineStr"/>
      <c r="H167" s="23" t="inlineStr"/>
      <c r="I167" s="23" t="inlineStr"/>
      <c r="J167" s="23" t="inlineStr"/>
    </row>
    <row r="168">
      <c r="A168" s="18" t="inlineStr">
        <is>
          <t>DSH-10</t>
        </is>
      </c>
      <c r="B168" s="19" t="inlineStr">
        <is>
          <t>Dashboard, settings &amp; auxiliary UI</t>
        </is>
      </c>
      <c r="C168" s="19" t="inlineStr"/>
      <c r="D168" s="20" t="inlineStr">
        <is>
          <t>Sign Out returns to login and clears the session; the next login is a full authentication</t>
        </is>
      </c>
      <c r="E168" s="20" t="inlineStr"/>
      <c r="F168" s="20" t="inlineStr"/>
      <c r="G168" s="20" t="inlineStr"/>
      <c r="H168" s="20" t="inlineStr"/>
      <c r="I168" s="20" t="inlineStr"/>
      <c r="J168" s="20" t="inlineStr"/>
    </row>
    <row r="169">
      <c r="A169" s="21" t="inlineStr">
        <is>
          <t>DSH-11</t>
        </is>
      </c>
      <c r="B169" s="22" t="inlineStr">
        <is>
          <t>Dashboard, settings &amp; auxiliary UI</t>
        </is>
      </c>
      <c r="C169" s="22" t="inlineStr"/>
      <c r="D169" s="23" t="inlineStr">
        <is>
          <t>Settings changes persist to ecg_settings.json in the runtime workspace, not the install directory</t>
        </is>
      </c>
      <c r="E169" s="23" t="inlineStr"/>
      <c r="F169" s="23" t="inlineStr"/>
      <c r="G169" s="23" t="inlineStr"/>
      <c r="H169" s="23" t="inlineStr"/>
      <c r="I169" s="23" t="inlineStr"/>
      <c r="J169" s="23" t="inlineStr"/>
    </row>
    <row r="170">
      <c r="A170" s="18" t="inlineStr">
        <is>
          <t>DSH-12</t>
        </is>
      </c>
      <c r="B170" s="19" t="inlineStr">
        <is>
          <t>Dashboard, settings &amp; auxiliary UI</t>
        </is>
      </c>
      <c r="C170" s="19" t="inlineStr"/>
      <c r="D170" s="20" t="inlineStr">
        <is>
          <t>Demo mode</t>
        </is>
      </c>
      <c r="E170" s="20" t="inlineStr">
        <is>
          <t>With no device attached, a static .ecgh dataset replays and drives trace rendering, clinical algorithms and PDF generation.</t>
        </is>
      </c>
      <c r="F170" s="20" t="inlineStr"/>
      <c r="G170" s="20" t="inlineStr"/>
      <c r="H170" s="20" t="inlineStr"/>
      <c r="I170" s="20" t="inlineStr"/>
      <c r="J170" s="20" t="inlineStr"/>
    </row>
    <row r="171">
      <c r="A171" s="21" t="inlineStr">
        <is>
          <t>DSH-13</t>
        </is>
      </c>
      <c r="B171" s="22" t="inlineStr">
        <is>
          <t>Dashboard, settings &amp; auxiliary UI</t>
        </is>
      </c>
      <c r="C171" s="22" t="inlineStr"/>
      <c r="D171" s="23" t="inlineStr">
        <is>
          <t>No startup AttributeError from datetime shadowing — a clean launch shows no type object 'datetime.datetime' has no attribute</t>
        </is>
      </c>
      <c r="E171" s="23" t="inlineStr">
        <is>
          <t>'datetime' in the log.</t>
        </is>
      </c>
      <c r="F171" s="23" t="inlineStr"/>
      <c r="G171" s="23" t="inlineStr"/>
      <c r="H171" s="23" t="inlineStr"/>
      <c r="I171" s="23" t="inlineStr"/>
      <c r="J171" s="23" t="inlineStr"/>
    </row>
    <row r="172" ht="20" customHeight="1">
      <c r="A172" s="17" t="inlineStr">
        <is>
          <t xml:space="preserve">  Performance on minimum spec</t>
        </is>
      </c>
    </row>
    <row r="173">
      <c r="A173" s="21" t="inlineStr">
        <is>
          <t>PRF-01</t>
        </is>
      </c>
      <c r="B173" s="22" t="inlineStr">
        <is>
          <t>Performance on minimum spec</t>
        </is>
      </c>
      <c r="C173" s="22" t="inlineStr"/>
      <c r="D173" s="23" t="inlineStr">
        <is>
          <t>is_low_spec_mode() engages and antialiasing is disabled (it roughly triples line-drawing cost)</t>
        </is>
      </c>
      <c r="E173" s="23" t="inlineStr"/>
      <c r="F173" s="23" t="inlineStr"/>
      <c r="G173" s="23" t="inlineStr"/>
      <c r="H173" s="23" t="inlineStr"/>
      <c r="I173" s="23" t="inlineStr"/>
      <c r="J173" s="23" t="inlineStr"/>
    </row>
    <row r="174">
      <c r="A174" s="18" t="inlineStr">
        <is>
          <t>PRF-02</t>
        </is>
      </c>
      <c r="B174" s="19" t="inlineStr">
        <is>
          <t>Performance on minimum spec</t>
        </is>
      </c>
      <c r="C174" s="19" t="inlineStr"/>
      <c r="D174" s="20" t="inlineStr">
        <is>
          <t>A 10-minute continuous capture holds a steady frame rate with no progressive slowdown</t>
        </is>
      </c>
      <c r="E174" s="20" t="inlineStr"/>
      <c r="F174" s="20" t="inlineStr"/>
      <c r="G174" s="20" t="inlineStr"/>
      <c r="H174" s="20" t="inlineStr"/>
      <c r="I174" s="20" t="inlineStr"/>
      <c r="J174" s="20" t="inlineStr"/>
    </row>
    <row r="175">
      <c r="A175" s="21" t="inlineStr">
        <is>
          <t>PRF-03</t>
        </is>
      </c>
      <c r="B175" s="22" t="inlineStr">
        <is>
          <t>Performance on minimum spec</t>
        </is>
      </c>
      <c r="C175" s="22" t="inlineStr"/>
      <c r="D175" s="23" t="inlineStr">
        <is>
          <t>Memory is stable across that 10 minutes — record start and end RSS:</t>
        </is>
      </c>
      <c r="E175" s="23" t="inlineStr">
        <is>
          <t>_____ MB → _____ MB.</t>
        </is>
      </c>
      <c r="F175" s="23" t="inlineStr"/>
      <c r="G175" s="23" t="inlineStr"/>
      <c r="H175" s="23" t="inlineStr"/>
      <c r="I175" s="23" t="inlineStr"/>
      <c r="J175" s="23" t="inlineStr"/>
    </row>
    <row r="176">
      <c r="A176" s="18" t="inlineStr">
        <is>
          <t>PRF-04</t>
        </is>
      </c>
      <c r="B176" s="19" t="inlineStr">
        <is>
          <t>Performance on minimum spec</t>
        </is>
      </c>
      <c r="C176" s="19" t="inlineStr"/>
      <c r="D176" s="20" t="inlineStr">
        <is>
          <t>CPU during capture stays within budget; the ring-buffer optimisation should return roughly 18 % of a core versus the old np.roll</t>
        </is>
      </c>
      <c r="E176" s="20" t="inlineStr">
        <is>
          <t>path. Record: _____ %.</t>
        </is>
      </c>
      <c r="F176" s="20" t="inlineStr"/>
      <c r="G176" s="20" t="inlineStr"/>
      <c r="H176" s="20" t="inlineStr"/>
      <c r="I176" s="20" t="inlineStr"/>
      <c r="J176" s="20" t="inlineStr"/>
    </row>
    <row r="177">
      <c r="A177" s="21" t="inlineStr">
        <is>
          <t>PRF-05</t>
        </is>
      </c>
      <c r="B177" s="22" t="inlineStr">
        <is>
          <t>Performance on minimum spec</t>
        </is>
      </c>
      <c r="C177" s="22" t="inlineStr"/>
      <c r="D177" s="23" t="inlineStr">
        <is>
          <t>Report generation completes in a reasonable time and the UI recovers fully afterwards</t>
        </is>
      </c>
      <c r="E177" s="23" t="inlineStr"/>
      <c r="F177" s="23" t="inlineStr"/>
      <c r="G177" s="23" t="inlineStr"/>
      <c r="H177" s="23" t="inlineStr"/>
      <c r="I177" s="23" t="inlineStr"/>
      <c r="J177" s="23" t="inlineStr"/>
    </row>
    <row r="178">
      <c r="A178" s="18" t="inlineStr">
        <is>
          <t>PRF-06</t>
        </is>
      </c>
      <c r="B178" s="19" t="inlineStr">
        <is>
          <t>Performance on minimum spec</t>
        </is>
      </c>
      <c r="C178" s="19" t="inlineStr"/>
      <c r="D178" s="20" t="inlineStr">
        <is>
          <t>Login completes in ≈ 4.5 s (see LIC-18)</t>
        </is>
      </c>
      <c r="E178" s="20" t="inlineStr"/>
      <c r="F178" s="20" t="inlineStr"/>
      <c r="G178" s="20" t="inlineStr"/>
      <c r="H178" s="20" t="inlineStr"/>
      <c r="I178" s="20" t="inlineStr"/>
      <c r="J178" s="20" t="inlineStr"/>
    </row>
    <row r="179">
      <c r="A179" s="21" t="inlineStr">
        <is>
          <t>PRF-07</t>
        </is>
      </c>
      <c r="B179" s="22" t="inlineStr">
        <is>
          <t>Performance on minimum spec</t>
        </is>
      </c>
      <c r="C179" s="22" t="inlineStr"/>
      <c r="D179" s="23" t="inlineStr">
        <is>
          <t>Opening and closing each module five times leaks neither memory nor window handles</t>
        </is>
      </c>
      <c r="E179" s="23" t="inlineStr"/>
      <c r="F179" s="23" t="inlineStr"/>
      <c r="G179" s="23" t="inlineStr"/>
      <c r="H179" s="23" t="inlineStr"/>
      <c r="I179" s="23" t="inlineStr"/>
      <c r="J179" s="23" t="inlineStr"/>
    </row>
    <row r="180" ht="20" customHeight="1">
      <c r="A180" s="17" t="inlineStr">
        <is>
          <t xml:space="preserve">  Security</t>
        </is>
      </c>
    </row>
    <row r="181">
      <c r="A181" s="21" t="inlineStr">
        <is>
          <t>SEC-01</t>
        </is>
      </c>
      <c r="B181" s="22" t="inlineStr">
        <is>
          <t>Security</t>
        </is>
      </c>
      <c r="C181" s="24" t="inlineStr">
        <is>
          <t>YES</t>
        </is>
      </c>
      <c r="D181" s="23" t="inlineStr">
        <is>
          <t>No login bypass in the shipped EXE</t>
        </is>
      </c>
      <c r="E181" s="23" t="inlineStr">
        <is>
          <t>No hardcoded credential, no developer account, no CARDIOX_DEV_AUTOLOGIN default-on. (AUT covers the source; this covers the binary.)</t>
        </is>
      </c>
      <c r="F181" s="23" t="inlineStr"/>
      <c r="G181" s="23" t="inlineStr"/>
      <c r="H181" s="23" t="inlineStr"/>
      <c r="I181" s="23" t="inlineStr"/>
      <c r="J181" s="23" t="inlineStr"/>
    </row>
    <row r="182">
      <c r="A182" s="18" t="inlineStr">
        <is>
          <t>SEC-02</t>
        </is>
      </c>
      <c r="B182" s="19" t="inlineStr">
        <is>
          <t>Security</t>
        </is>
      </c>
      <c r="C182" s="25" t="inlineStr">
        <is>
          <t>YES</t>
        </is>
      </c>
      <c r="D182" s="20" t="inlineStr">
        <is>
          <t>Admin panel accepts only the env-configured ADMIN_PASSWORD / CARDIOX_ADMIN_PASS</t>
        </is>
      </c>
      <c r="E182" s="20" t="inlineStr">
        <is>
          <t>There is no fallback that works when the variable is unset.</t>
        </is>
      </c>
      <c r="F182" s="20" t="inlineStr"/>
      <c r="G182" s="20" t="inlineStr"/>
      <c r="H182" s="20" t="inlineStr"/>
      <c r="I182" s="20" t="inlineStr"/>
      <c r="J182" s="20" t="inlineStr"/>
    </row>
    <row r="183">
      <c r="A183" s="21" t="inlineStr">
        <is>
          <t>SEC-03</t>
        </is>
      </c>
      <c r="B183" s="22" t="inlineStr">
        <is>
          <t>Security</t>
        </is>
      </c>
      <c r="C183" s="24" t="inlineStr">
        <is>
          <t>YES</t>
        </is>
      </c>
      <c r="D183" s="23" t="inlineStr">
        <is>
          <t>Strings dumped from the EXE and _internal contain no server-side secret</t>
        </is>
      </c>
      <c r="E183" s="23" t="inlineStr">
        <is>
          <t>Cross-check against _DIST_ENV_KNOWN_SHIPPED. ⚠️ Known exposure, tracked, not a new defect: AWS_, the report/chatbot gateway API keys, and CARDIOX_ADMIN_ do ship today. Remediation is presigned URLs and per-install tokens. Confirm the set has not grown since the last release.</t>
        </is>
      </c>
      <c r="F183" s="23" t="inlineStr"/>
      <c r="G183" s="23" t="inlineStr"/>
      <c r="H183" s="23" t="inlineStr"/>
      <c r="I183" s="23" t="inlineStr"/>
      <c r="J183" s="23" t="inlineStr"/>
    </row>
    <row r="184">
      <c r="A184" s="18" t="inlineStr">
        <is>
          <t>SEC-04</t>
        </is>
      </c>
      <c r="B184" s="19" t="inlineStr">
        <is>
          <t>Security</t>
        </is>
      </c>
      <c r="C184" s="25" t="inlineStr">
        <is>
          <t>YES</t>
        </is>
      </c>
      <c r="D184" s="20" t="inlineStr">
        <is>
          <t>ecg_history.json is gitignored and no patient data is committed</t>
        </is>
      </c>
      <c r="E184" s="20" t="inlineStr"/>
      <c r="F184" s="20" t="inlineStr"/>
      <c r="G184" s="20" t="inlineStr"/>
      <c r="H184" s="20" t="inlineStr"/>
      <c r="I184" s="20" t="inlineStr"/>
      <c r="J184" s="20" t="inlineStr"/>
    </row>
    <row r="185">
      <c r="A185" s="21" t="inlineStr">
        <is>
          <t>SEC-05</t>
        </is>
      </c>
      <c r="B185" s="22" t="inlineStr">
        <is>
          <t>Security</t>
        </is>
      </c>
      <c r="C185" s="24" t="inlineStr">
        <is>
          <t>YES</t>
        </is>
      </c>
      <c r="D185" s="23" t="inlineStr">
        <is>
          <t>The licence token is not trivially editable — tampering with cardiox.lic is caught by Check-2 (integrity)</t>
        </is>
      </c>
      <c r="E185" s="23" t="inlineStr">
        <is>
          <t>⚠️ Known limitation: tokens are signed with JWT_SECRET but verified against LICENSE_HMAC_SECRET, so offline signature verification cannot succeed. Real offline tamper detection needs RS256 with only the public key shipped. Verify the behaviour and confirm the item is still tracked.</t>
        </is>
      </c>
      <c r="F185" s="23" t="inlineStr"/>
      <c r="G185" s="23" t="inlineStr"/>
      <c r="H185" s="23" t="inlineStr"/>
      <c r="I185" s="23" t="inlineStr"/>
      <c r="J185" s="23" t="inlineStr"/>
    </row>
    <row r="186">
      <c r="A186" s="18" t="inlineStr">
        <is>
          <t>SEC-06</t>
        </is>
      </c>
      <c r="B186" s="19" t="inlineStr">
        <is>
          <t>Security</t>
        </is>
      </c>
      <c r="C186" s="25" t="inlineStr">
        <is>
          <t>YES</t>
        </is>
      </c>
      <c r="D186" s="20" t="inlineStr">
        <is>
          <t>Division-by-zero and locale guards hold:</t>
        </is>
      </c>
      <c r="E186" s="20" t="inlineStr">
        <is>
          <t>speed_mm_per_s &lt;= 0 is rejected, and "72,5" / "72 BPM" parse correctly in the hyperkalemia generator.</t>
        </is>
      </c>
      <c r="F186" s="20" t="inlineStr"/>
      <c r="G186" s="20" t="inlineStr"/>
      <c r="H186" s="20" t="inlineStr"/>
      <c r="I186" s="20" t="inlineStr"/>
      <c r="J186" s="20" t="inlineStr"/>
    </row>
    <row r="187">
      <c r="A187" s="21" t="inlineStr">
        <is>
          <t>SEC-07</t>
        </is>
      </c>
      <c r="B187" s="22" t="inlineStr">
        <is>
          <t>Security</t>
        </is>
      </c>
      <c r="C187" s="24" t="inlineStr">
        <is>
          <t>YES</t>
        </is>
      </c>
      <c r="D187" s="23" t="inlineStr">
        <is>
          <t>The app does not require admin rights to run (only to install)</t>
        </is>
      </c>
      <c r="E187" s="23" t="inlineStr"/>
      <c r="F187" s="23" t="inlineStr"/>
      <c r="G187" s="23" t="inlineStr"/>
      <c r="H187" s="23" t="inlineStr"/>
      <c r="I187" s="23" t="inlineStr"/>
      <c r="J187" s="23" t="inlineStr"/>
    </row>
    <row r="188" ht="20" customHeight="1">
      <c r="A188" s="17" t="inlineStr">
        <is>
          <t xml:space="preserve">  Update &amp; uninstall</t>
        </is>
      </c>
    </row>
    <row r="189">
      <c r="A189" s="21" t="inlineStr">
        <is>
          <t>UPD-01</t>
        </is>
      </c>
      <c r="B189" s="22" t="inlineStr">
        <is>
          <t>Update &amp; uninstall</t>
        </is>
      </c>
      <c r="C189" s="22" t="inlineStr"/>
      <c r="D189" s="23" t="inlineStr">
        <is>
          <t>The update checker runs at startup without blocking the UI</t>
        </is>
      </c>
      <c r="E189" s="23" t="inlineStr"/>
      <c r="F189" s="23" t="inlineStr"/>
      <c r="G189" s="23" t="inlineStr"/>
      <c r="H189" s="23" t="inlineStr"/>
      <c r="I189" s="23" t="inlineStr"/>
      <c r="J189" s="23" t="inlineStr"/>
    </row>
    <row r="190">
      <c r="A190" s="18" t="inlineStr">
        <is>
          <t>UPD-02</t>
        </is>
      </c>
      <c r="B190" s="19" t="inlineStr">
        <is>
          <t>Update &amp; uninstall</t>
        </is>
      </c>
      <c r="C190" s="19" t="inlineStr"/>
      <c r="D190" s="20" t="inlineStr">
        <is>
          <t>When an update is available, the in-app banner appears, is dismissible, and repositions correctly on window resize</t>
        </is>
      </c>
      <c r="E190" s="20" t="inlineStr"/>
      <c r="F190" s="20" t="inlineStr"/>
      <c r="G190" s="20" t="inlineStr"/>
      <c r="H190" s="20" t="inlineStr"/>
      <c r="I190" s="20" t="inlineStr"/>
      <c r="J190" s="20" t="inlineStr"/>
    </row>
    <row r="191">
      <c r="A191" s="21" t="inlineStr">
        <is>
          <t>UPD-03</t>
        </is>
      </c>
      <c r="B191" s="22" t="inlineStr">
        <is>
          <t>Update &amp; uninstall</t>
        </is>
      </c>
      <c r="C191" s="22" t="inlineStr"/>
      <c r="D191" s="23" t="inlineStr">
        <is>
          <t>No update available → no banner, no error dialog, no log noise</t>
        </is>
      </c>
      <c r="E191" s="23" t="inlineStr"/>
      <c r="F191" s="23" t="inlineStr"/>
      <c r="G191" s="23" t="inlineStr"/>
      <c r="H191" s="23" t="inlineStr"/>
      <c r="I191" s="23" t="inlineStr"/>
      <c r="J191" s="23" t="inlineStr"/>
    </row>
    <row r="192">
      <c r="A192" s="18" t="inlineStr">
        <is>
          <t>UPD-04</t>
        </is>
      </c>
      <c r="B192" s="19" t="inlineStr">
        <is>
          <t>Update &amp; uninstall</t>
        </is>
      </c>
      <c r="C192" s="19" t="inlineStr"/>
      <c r="D192" s="20" t="inlineStr">
        <is>
          <t>The update check fails silently and harmlessly when offline</t>
        </is>
      </c>
      <c r="E192" s="20" t="inlineStr"/>
      <c r="F192" s="20" t="inlineStr"/>
      <c r="G192" s="20" t="inlineStr"/>
      <c r="H192" s="20" t="inlineStr"/>
      <c r="I192" s="20" t="inlineStr"/>
      <c r="J192" s="20" t="inlineStr"/>
    </row>
    <row r="193">
      <c r="A193" s="21" t="inlineStr">
        <is>
          <t>UNI-01</t>
        </is>
      </c>
      <c r="B193" s="22" t="inlineStr">
        <is>
          <t>Update &amp; uninstall</t>
        </is>
      </c>
      <c r="C193" s="22" t="inlineStr"/>
      <c r="D193" s="23" t="inlineStr">
        <is>
          <t>Uninstalling via Start Menu or Settings → Apps removes {app} completely, including _internal</t>
        </is>
      </c>
      <c r="E193" s="23" t="inlineStr"/>
      <c r="F193" s="23" t="inlineStr"/>
      <c r="G193" s="23" t="inlineStr"/>
      <c r="H193" s="23" t="inlineStr"/>
      <c r="I193" s="23" t="inlineStr"/>
      <c r="J193" s="23" t="inlineStr"/>
    </row>
    <row r="194">
      <c r="A194" s="18" t="inlineStr">
        <is>
          <t>UNI-02</t>
        </is>
      </c>
      <c r="B194" s="19" t="inlineStr">
        <is>
          <t>Update &amp; uninstall</t>
        </is>
      </c>
      <c r="C194" s="19" t="inlineStr"/>
      <c r="D194" s="20" t="inlineStr">
        <is>
          <t>Desktop and Start Menu shortcuts are removed</t>
        </is>
      </c>
      <c r="E194" s="20" t="inlineStr"/>
      <c r="F194" s="20" t="inlineStr"/>
      <c r="G194" s="20" t="inlineStr"/>
      <c r="H194" s="20" t="inlineStr"/>
      <c r="I194" s="20" t="inlineStr"/>
      <c r="J194" s="20" t="inlineStr"/>
    </row>
    <row r="195">
      <c r="A195" s="21" t="inlineStr">
        <is>
          <t>UNI-03</t>
        </is>
      </c>
      <c r="B195" s="22" t="inlineStr">
        <is>
          <t>Update &amp; uninstall</t>
        </is>
      </c>
      <c r="C195" s="22" t="inlineStr"/>
      <c r="D195" s="23" t="inlineStr">
        <is>
          <t>The runtime workspace survives uninstall</t>
        </is>
      </c>
      <c r="E195" s="23" t="inlineStr">
        <is>
          <t>%LOCALAPPDATA%\Deckmount\CardioX — reports, history, users.json — must not be deleted. That is clinical data.</t>
        </is>
      </c>
      <c r="F195" s="23" t="inlineStr"/>
      <c r="G195" s="23" t="inlineStr"/>
      <c r="H195" s="23" t="inlineStr"/>
      <c r="I195" s="23" t="inlineStr"/>
      <c r="J195" s="23" t="inlineStr"/>
    </row>
    <row r="196">
      <c r="A196" s="18" t="inlineStr">
        <is>
          <t>UNI-04</t>
        </is>
      </c>
      <c r="B196" s="19" t="inlineStr">
        <is>
          <t>Update &amp; uninstall</t>
        </is>
      </c>
      <c r="C196" s="19" t="inlineStr"/>
      <c r="D196" s="20" t="inlineStr">
        <is>
          <t>Reinstalling after uninstall picks the existing workspace back up:</t>
        </is>
      </c>
      <c r="E196" s="20" t="inlineStr">
        <is>
          <t>history and reports are still there.</t>
        </is>
      </c>
      <c r="F196" s="20" t="inlineStr"/>
      <c r="G196" s="20" t="inlineStr"/>
      <c r="H196" s="20" t="inlineStr"/>
      <c r="I196" s="20" t="inlineStr"/>
      <c r="J196" s="20" t="inlineStr"/>
    </row>
    <row r="197" ht="20" customHeight="1">
      <c r="A197" s="17" t="inlineStr">
        <is>
          <t xml:space="preserve">  Regression checks for the 2026-08-13 fix set</t>
        </is>
      </c>
    </row>
    <row r="198">
      <c r="A198" s="18" t="inlineStr">
        <is>
          <t>REG-01</t>
        </is>
      </c>
      <c r="B198" s="19" t="inlineStr">
        <is>
          <t>Regression checks for the 2026-08-13 fix set</t>
        </is>
      </c>
      <c r="C198" s="19" t="inlineStr"/>
      <c r="D198" s="20" t="inlineStr">
        <is>
          <t>Login loop after signup</t>
        </is>
      </c>
      <c r="E198" s="20" t="inlineStr">
        <is>
          <t>Verified by: LIC-03, LIC-13.</t>
        </is>
      </c>
      <c r="F198" s="20" t="inlineStr"/>
      <c r="G198" s="20" t="inlineStr"/>
      <c r="H198" s="20" t="inlineStr"/>
      <c r="I198" s="20" t="inlineStr"/>
      <c r="J198" s="20" t="inlineStr"/>
    </row>
    <row r="199">
      <c r="A199" s="21" t="inlineStr">
        <is>
          <t>REG-02</t>
        </is>
      </c>
      <c r="B199" s="22" t="inlineStr">
        <is>
          <t>Regression checks for the 2026-08-13 fix set</t>
        </is>
      </c>
      <c r="C199" s="22" t="inlineStr"/>
      <c r="D199" s="23" t="inlineStr">
        <is>
          <t>Error codes read from error, not error_code</t>
        </is>
      </c>
      <c r="E199" s="23" t="inlineStr">
        <is>
          <t>Verified by: LIC-17.</t>
        </is>
      </c>
      <c r="F199" s="23" t="inlineStr"/>
      <c r="G199" s="23" t="inlineStr"/>
      <c r="H199" s="23" t="inlineStr"/>
      <c r="I199" s="23" t="inlineStr"/>
      <c r="J199" s="23" t="inlineStr"/>
    </row>
    <row r="200">
      <c r="A200" s="18" t="inlineStr">
        <is>
          <t>REG-03</t>
        </is>
      </c>
      <c r="B200" s="19" t="inlineStr">
        <is>
          <t>Regression checks for the 2026-08-13 fix set</t>
        </is>
      </c>
      <c r="C200" s="19" t="inlineStr"/>
      <c r="D200" s="20" t="inlineStr">
        <is>
          <t>Doctor-review 404 "Old Report not supported"</t>
        </is>
      </c>
      <c r="E200" s="20" t="inlineStr">
        <is>
          <t>Verified by: DRV-02, DRV-03.</t>
        </is>
      </c>
      <c r="F200" s="20" t="inlineStr"/>
      <c r="G200" s="20" t="inlineStr"/>
      <c r="H200" s="20" t="inlineStr"/>
      <c r="I200" s="20" t="inlineStr"/>
      <c r="J200" s="20" t="inlineStr"/>
    </row>
    <row r="201">
      <c r="A201" s="21" t="inlineStr">
        <is>
          <t>REG-04</t>
        </is>
      </c>
      <c r="B201" s="22" t="inlineStr">
        <is>
          <t>Regression checks for the 2026-08-13 fix set</t>
        </is>
      </c>
      <c r="C201" s="22" t="inlineStr"/>
      <c r="D201" s="23" t="inlineStr">
        <is>
          <t>Duplicate uploads under the wrong prefix</t>
        </is>
      </c>
      <c r="E201" s="23" t="inlineStr">
        <is>
          <t>Verified by: DRV-05.</t>
        </is>
      </c>
      <c r="F201" s="23" t="inlineStr"/>
      <c r="G201" s="23" t="inlineStr"/>
      <c r="H201" s="23" t="inlineStr"/>
      <c r="I201" s="23" t="inlineStr"/>
      <c r="J201" s="23" t="inlineStr"/>
    </row>
    <row r="202">
      <c r="A202" s="18" t="inlineStr">
        <is>
          <t>REG-05</t>
        </is>
      </c>
      <c r="B202" s="19" t="inlineStr">
        <is>
          <t>Regression checks for the 2026-08-13 fix set</t>
        </is>
      </c>
      <c r="C202" s="19" t="inlineStr"/>
      <c r="D202" s="20" t="inlineStr">
        <is>
          <t>Lead-off false positives on clean signal (aVR/III/aVF)</t>
        </is>
      </c>
      <c r="E202" s="20" t="inlineStr">
        <is>
          <t>Verified by: ECG-11.</t>
        </is>
      </c>
      <c r="F202" s="20" t="inlineStr"/>
      <c r="G202" s="20" t="inlineStr"/>
      <c r="H202" s="20" t="inlineStr"/>
      <c r="I202" s="20" t="inlineStr"/>
      <c r="J202" s="20" t="inlineStr"/>
    </row>
    <row r="203">
      <c r="A203" s="21" t="inlineStr">
        <is>
          <t>REG-06</t>
        </is>
      </c>
      <c r="B203" s="22" t="inlineStr">
        <is>
          <t>Regression checks for the 2026-08-13 fix set</t>
        </is>
      </c>
      <c r="C203" s="22" t="inlineStr"/>
      <c r="D203" s="23" t="inlineStr">
        <is>
          <t>smooth_display.py private threshold copy removed</t>
        </is>
      </c>
      <c r="E203" s="23" t="inlineStr">
        <is>
          <t>Verified by: ECG-11.</t>
        </is>
      </c>
      <c r="F203" s="23" t="inlineStr"/>
      <c r="G203" s="23" t="inlineStr"/>
      <c r="H203" s="23" t="inlineStr"/>
      <c r="I203" s="23" t="inlineStr"/>
      <c r="J203" s="23" t="inlineStr"/>
    </row>
    <row r="204">
      <c r="A204" s="18" t="inlineStr">
        <is>
          <t>REG-07</t>
        </is>
      </c>
      <c r="B204" s="19" t="inlineStr">
        <is>
          <t>Regression checks for the 2026-08-13 fix set</t>
        </is>
      </c>
      <c r="C204" s="19" t="inlineStr"/>
      <c r="D204" s="20" t="inlineStr">
        <is>
          <t>Report edge tapers</t>
        </is>
      </c>
      <c r="E204" s="20" t="inlineStr">
        <is>
          <t>Verified by: RPT-05.</t>
        </is>
      </c>
      <c r="F204" s="20" t="inlineStr"/>
      <c r="G204" s="20" t="inlineStr"/>
      <c r="H204" s="20" t="inlineStr"/>
      <c r="I204" s="20" t="inlineStr"/>
      <c r="J204" s="20" t="inlineStr"/>
    </row>
    <row r="205">
      <c r="A205" s="21" t="inlineStr">
        <is>
          <t>REG-08</t>
        </is>
      </c>
      <c r="B205" s="22" t="inlineStr">
        <is>
          <t>Regression checks for the 2026-08-13 fix set</t>
        </is>
      </c>
      <c r="C205" s="22" t="inlineStr"/>
      <c r="D205" s="23" t="inlineStr">
        <is>
          <t>6×2 strip trimming</t>
        </is>
      </c>
      <c r="E205" s="23" t="inlineStr">
        <is>
          <t>Verified by: RPT-06.</t>
        </is>
      </c>
      <c r="F205" s="23" t="inlineStr"/>
      <c r="G205" s="23" t="inlineStr"/>
      <c r="H205" s="23" t="inlineStr"/>
      <c r="I205" s="23" t="inlineStr"/>
      <c r="J205" s="23" t="inlineStr"/>
    </row>
    <row r="206">
      <c r="A206" s="18" t="inlineStr">
        <is>
          <t>REG-09</t>
        </is>
      </c>
      <c r="B206" s="19" t="inlineStr">
        <is>
          <t>Regression checks for the 2026-08-13 fix set</t>
        </is>
      </c>
      <c r="C206" s="19" t="inlineStr"/>
      <c r="D206" s="20" t="inlineStr">
        <is>
          <t>HRV raster sweep eraser bar</t>
        </is>
      </c>
      <c r="E206" s="20" t="inlineStr">
        <is>
          <t>Verified by: HRV-02.</t>
        </is>
      </c>
      <c r="F206" s="20" t="inlineStr"/>
      <c r="G206" s="20" t="inlineStr"/>
      <c r="H206" s="20" t="inlineStr"/>
      <c r="I206" s="20" t="inlineStr"/>
      <c r="J206" s="20" t="inlineStr"/>
    </row>
    <row r="207">
      <c r="A207" s="21" t="inlineStr">
        <is>
          <t>REG-10</t>
        </is>
      </c>
      <c r="B207" s="22" t="inlineStr">
        <is>
          <t>Regression checks for the 2026-08-13 fix set</t>
        </is>
      </c>
      <c r="C207" s="22" t="inlineStr"/>
      <c r="D207" s="23" t="inlineStr">
        <is>
          <t>mode='peak' speckle</t>
        </is>
      </c>
      <c r="E207" s="23" t="inlineStr">
        <is>
          <t>Verified by: HRV-03, HYP-02.</t>
        </is>
      </c>
      <c r="F207" s="23" t="inlineStr"/>
      <c r="G207" s="23" t="inlineStr"/>
      <c r="H207" s="23" t="inlineStr"/>
      <c r="I207" s="23" t="inlineStr"/>
      <c r="J207" s="23" t="inlineStr"/>
    </row>
    <row r="208">
      <c r="A208" s="18" t="inlineStr">
        <is>
          <t>REG-11</t>
        </is>
      </c>
      <c r="B208" s="19" t="inlineStr">
        <is>
          <t>Regression checks for the 2026-08-13 fix set</t>
        </is>
      </c>
      <c r="C208" s="19" t="inlineStr"/>
      <c r="D208" s="20" t="inlineStr">
        <is>
          <t>Hyperkalemia baseline drift</t>
        </is>
      </c>
      <c r="E208" s="20" t="inlineStr">
        <is>
          <t>Verified by: HYP-04.</t>
        </is>
      </c>
      <c r="F208" s="20" t="inlineStr"/>
      <c r="G208" s="20" t="inlineStr"/>
      <c r="H208" s="20" t="inlineStr"/>
      <c r="I208" s="20" t="inlineStr"/>
      <c r="J208" s="20" t="inlineStr"/>
    </row>
    <row r="209">
      <c r="A209" s="21" t="inlineStr">
        <is>
          <t>REG-12</t>
        </is>
      </c>
      <c r="B209" s="22" t="inlineStr">
        <is>
          <t>Regression checks for the 2026-08-13 fix set</t>
        </is>
      </c>
      <c r="C209" s="22" t="inlineStr"/>
      <c r="D209" s="23" t="inlineStr">
        <is>
          <t>AC filter defaulting to off in reports</t>
        </is>
      </c>
      <c r="E209" s="23" t="inlineStr">
        <is>
          <t>Verified by: RPT-09.</t>
        </is>
      </c>
      <c r="F209" s="23" t="inlineStr"/>
      <c r="G209" s="23" t="inlineStr"/>
      <c r="H209" s="23" t="inlineStr"/>
      <c r="I209" s="23" t="inlineStr"/>
      <c r="J209" s="23" t="inlineStr"/>
    </row>
    <row r="210">
      <c r="A210" s="18" t="inlineStr">
        <is>
          <t>REG-13</t>
        </is>
      </c>
      <c r="B210" s="19" t="inlineStr">
        <is>
          <t>Regression checks for the 2026-08-13 fix set</t>
        </is>
      </c>
      <c r="C210" s="19" t="inlineStr"/>
      <c r="D210" s="20" t="inlineStr">
        <is>
          <t>np.roll capture cost</t>
        </is>
      </c>
      <c r="E210" s="20" t="inlineStr">
        <is>
          <t>Verified by: HYP-10, PRF-04.</t>
        </is>
      </c>
      <c r="F210" s="20" t="inlineStr"/>
      <c r="G210" s="20" t="inlineStr"/>
      <c r="H210" s="20" t="inlineStr"/>
      <c r="I210" s="20" t="inlineStr"/>
      <c r="J210" s="20" t="inlineStr"/>
    </row>
    <row r="211">
      <c r="A211" s="21" t="inlineStr">
        <is>
          <t>REG-14</t>
        </is>
      </c>
      <c r="B211" s="22" t="inlineStr">
        <is>
          <t>Regression checks for the 2026-08-13 fix set</t>
        </is>
      </c>
      <c r="C211" s="22" t="inlineStr"/>
      <c r="D211" s="23" t="inlineStr">
        <is>
          <t>Sequential login checks</t>
        </is>
      </c>
      <c r="E211" s="23" t="inlineStr">
        <is>
          <t>Verified by: LIC-18, PRF-06.</t>
        </is>
      </c>
      <c r="F211" s="23" t="inlineStr"/>
      <c r="G211" s="23" t="inlineStr"/>
      <c r="H211" s="23" t="inlineStr"/>
      <c r="I211" s="23" t="inlineStr"/>
      <c r="J211" s="23" t="inlineStr"/>
    </row>
    <row r="212">
      <c r="A212" s="18" t="inlineStr">
        <is>
          <t>REG-15</t>
        </is>
      </c>
      <c r="B212" s="19" t="inlineStr">
        <is>
          <t>Regression checks for the 2026-08-13 fix set</t>
        </is>
      </c>
      <c r="C212" s="19" t="inlineStr"/>
      <c r="D212" s="20" t="inlineStr">
        <is>
          <t>Dead Ctrl+E shortcut in the sheet</t>
        </is>
      </c>
      <c r="E212" s="20" t="inlineStr">
        <is>
          <t>Verified by: HRV-12.</t>
        </is>
      </c>
      <c r="F212" s="20" t="inlineStr"/>
      <c r="G212" s="20" t="inlineStr"/>
      <c r="H212" s="20" t="inlineStr"/>
      <c r="I212" s="20" t="inlineStr"/>
      <c r="J212" s="20" t="inlineStr"/>
    </row>
  </sheetData>
  <autoFilter ref="A4:J212"/>
  <mergeCells count="21">
    <mergeCell ref="A5:J5"/>
    <mergeCell ref="A141:J141"/>
    <mergeCell ref="A150:J150"/>
    <mergeCell ref="A188:J188"/>
    <mergeCell ref="A180:J180"/>
    <mergeCell ref="A10:J10"/>
    <mergeCell ref="A28:J28"/>
    <mergeCell ref="A68:J68"/>
    <mergeCell ref="A39:J39"/>
    <mergeCell ref="A114:J114"/>
    <mergeCell ref="A15:J15"/>
    <mergeCell ref="A49:J49"/>
    <mergeCell ref="A1:J1"/>
    <mergeCell ref="A103:J103"/>
    <mergeCell ref="A132:J132"/>
    <mergeCell ref="A197:J197"/>
    <mergeCell ref="A172:J172"/>
    <mergeCell ref="A90:J90"/>
    <mergeCell ref="A75:J75"/>
    <mergeCell ref="A158:J158"/>
    <mergeCell ref="A2:J2"/>
  </mergeCells>
  <conditionalFormatting sqref="F5:F212">
    <cfRule type="cellIs" priority="1" operator="equal" dxfId="0">
      <formula>"PASS"</formula>
    </cfRule>
    <cfRule type="cellIs" priority="2" operator="equal" dxfId="1">
      <formula>"FAIL"</formula>
    </cfRule>
    <cfRule type="cellIs" priority="3" operator="equal" dxfId="2">
      <formula>"N/A"</formula>
    </cfRule>
    <cfRule type="cellIs" priority="4" operator="equal" dxfId="3">
      <formula>"BLOCKED"</formula>
    </cfRule>
  </conditionalFormatting>
  <dataValidations count="1">
    <dataValidation sqref="F5:F212" showDropDown="0" showInputMessage="0" showErrorMessage="0" allowBlank="1" promptTitle="Result" prompt="Select the outcome for this check" type="list">
      <formula1>"PASS,FAIL,N/A,BLOCKED"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5"/>
  <sheetViews>
    <sheetView zoomScale="100" workbookViewId="0">
      <pane ySplit="4" topLeftCell="A5" activePane="bottomLeft" state="frozen"/>
      <selection pane="bottomLeft" activeCell="A1" sqref="A1"/>
    </sheetView>
  </sheetViews>
  <sheetFormatPr baseColWidth="8" defaultRowHeight="15"/>
  <cols>
    <col width="11" customWidth="1" min="1" max="1"/>
    <col width="22" customWidth="1" min="2" max="2"/>
    <col width="18" customWidth="1" min="3" max="3"/>
    <col width="10" customWidth="1" min="4" max="4"/>
    <col width="46" customWidth="1" min="5" max="5"/>
    <col width="74" customWidth="1" min="6" max="6"/>
    <col width="11" customWidth="1" min="7" max="7"/>
    <col width="14" customWidth="1" min="8" max="8"/>
    <col width="12" customWidth="1" min="9" max="9"/>
    <col width="10" customWidth="1" min="10" max="10"/>
    <col width="30" customWidth="1" min="11" max="11"/>
  </cols>
  <sheetData>
    <row r="1" ht="26" customHeight="1">
      <c r="A1" s="15" t="inlineStr">
        <is>
          <t>ReportScreen.kt — Android report screen</t>
        </is>
      </c>
    </row>
    <row r="2">
      <c r="A2" s="9" t="inlineStr">
        <is>
          <t>Verification for the Android ECG report renderer and PDF export.</t>
        </is>
      </c>
    </row>
    <row r="4" ht="28" customHeight="1">
      <c r="A4" s="16" t="inlineStr">
        <is>
          <t>ID</t>
        </is>
      </c>
      <c r="B4" s="16" t="inlineStr">
        <is>
          <t>Layer</t>
        </is>
      </c>
      <c r="C4" s="16" t="inlineStr">
        <is>
          <t>Group</t>
        </is>
      </c>
      <c r="D4" s="16" t="inlineStr">
        <is>
          <t>Blocking</t>
        </is>
      </c>
      <c r="E4" s="16" t="inlineStr">
        <is>
          <t>Check</t>
        </is>
      </c>
      <c r="F4" s="16" t="inlineStr">
        <is>
          <t>Detail / expected result</t>
        </is>
      </c>
      <c r="G4" s="16" t="inlineStr">
        <is>
          <t>Result</t>
        </is>
      </c>
      <c r="H4" s="16" t="inlineStr">
        <is>
          <t>Tester</t>
        </is>
      </c>
      <c r="I4" s="16" t="inlineStr">
        <is>
          <t>Date</t>
        </is>
      </c>
      <c r="J4" s="16" t="inlineStr">
        <is>
          <t>Defect #</t>
        </is>
      </c>
      <c r="K4" s="16" t="inlineStr">
        <is>
          <t>Notes</t>
        </is>
      </c>
    </row>
    <row r="5" ht="20" customHeight="1">
      <c r="A5" s="17" t="inlineStr">
        <is>
          <t xml:space="preserve">  Verification checklist</t>
        </is>
      </c>
    </row>
    <row r="6">
      <c r="A6" s="18" t="inlineStr">
        <is>
          <t>KRP-01</t>
        </is>
      </c>
      <c r="B6" s="19" t="inlineStr">
        <is>
          <t>Verification checklist</t>
        </is>
      </c>
      <c r="C6" s="19" t="inlineStr">
        <is>
          <t>Rendering</t>
        </is>
      </c>
      <c r="D6" s="19" t="inlineStr"/>
      <c r="E6" s="20" t="inlineStr">
        <is>
          <t>All three layouts render:</t>
        </is>
      </c>
      <c r="F6" s="20" t="inlineStr">
        <is>
          <t>"1x12", "2x6", "3x4".</t>
        </is>
      </c>
      <c r="G6" s="20" t="inlineStr"/>
      <c r="H6" s="20" t="inlineStr"/>
      <c r="I6" s="20" t="inlineStr"/>
      <c r="J6" s="20" t="inlineStr"/>
      <c r="K6" s="20" t="inlineStr"/>
    </row>
    <row r="7">
      <c r="A7" s="21" t="inlineStr">
        <is>
          <t>KRP-02</t>
        </is>
      </c>
      <c r="B7" s="22" t="inlineStr">
        <is>
          <t>Verification checklist</t>
        </is>
      </c>
      <c r="C7" s="22" t="inlineStr">
        <is>
          <t>Rendering</t>
        </is>
      </c>
      <c r="D7" s="22" t="inlineStr"/>
      <c r="E7" s="23" t="inlineStr">
        <is>
          <t>An unrecognised layout string falls back to "2x6" rather than crashing</t>
        </is>
      </c>
      <c r="F7" s="23" t="inlineStr"/>
      <c r="G7" s="23" t="inlineStr"/>
      <c r="H7" s="23" t="inlineStr"/>
      <c r="I7" s="23" t="inlineStr"/>
      <c r="J7" s="23" t="inlineStr"/>
      <c r="K7" s="23" t="inlineStr"/>
    </row>
    <row r="8">
      <c r="A8" s="18" t="inlineStr">
        <is>
          <t>KRP-03</t>
        </is>
      </c>
      <c r="B8" s="19" t="inlineStr">
        <is>
          <t>Verification checklist</t>
        </is>
      </c>
      <c r="C8" s="19" t="inlineStr">
        <is>
          <t>Rendering</t>
        </is>
      </c>
      <c r="D8" s="19" t="inlineStr"/>
      <c r="E8" s="20" t="inlineStr">
        <is>
          <t>Grid is 1 mm minor / 5 mm major and spans the full page edge to edge</t>
        </is>
      </c>
      <c r="F8" s="20" t="inlineStr"/>
      <c r="G8" s="20" t="inlineStr"/>
      <c r="H8" s="20" t="inlineStr"/>
      <c r="I8" s="20" t="inlineStr"/>
      <c r="J8" s="20" t="inlineStr"/>
      <c r="K8" s="20" t="inlineStr"/>
    </row>
    <row r="9">
      <c r="A9" s="21" t="inlineStr">
        <is>
          <t>KRP-04</t>
        </is>
      </c>
      <c r="B9" s="22" t="inlineStr">
        <is>
          <t>Verification checklist</t>
        </is>
      </c>
      <c r="C9" s="22" t="inlineStr">
        <is>
          <t>Rendering</t>
        </is>
      </c>
      <c r="D9" s="22" t="inlineStr"/>
      <c r="E9" s="23" t="inlineStr">
        <is>
          <t>Every lane shows its calibration pulse:</t>
        </is>
      </c>
      <c r="F9" s="23" t="inlineStr">
        <is>
          <t>9 mm wide, 10 mm tall.</t>
        </is>
      </c>
      <c r="G9" s="23" t="inlineStr"/>
      <c r="H9" s="23" t="inlineStr"/>
      <c r="I9" s="23" t="inlineStr"/>
      <c r="J9" s="23" t="inlineStr"/>
      <c r="K9" s="23" t="inlineStr"/>
    </row>
    <row r="10">
      <c r="A10" s="18" t="inlineStr">
        <is>
          <t>KRP-05</t>
        </is>
      </c>
      <c r="B10" s="19" t="inlineStr">
        <is>
          <t>Verification checklist</t>
        </is>
      </c>
      <c r="C10" s="19" t="inlineStr">
        <is>
          <t>Rendering</t>
        </is>
      </c>
      <c r="D10" s="19" t="inlineStr"/>
      <c r="E10" s="20" t="inlineStr">
        <is>
          <t>Every lane shows its lead label above the trace</t>
        </is>
      </c>
      <c r="F10" s="20" t="inlineStr"/>
      <c r="G10" s="20" t="inlineStr"/>
      <c r="H10" s="20" t="inlineStr"/>
      <c r="I10" s="20" t="inlineStr"/>
      <c r="J10" s="20" t="inlineStr"/>
      <c r="K10" s="20" t="inlineStr"/>
    </row>
    <row r="11">
      <c r="A11" s="21" t="inlineStr">
        <is>
          <t>KRP-06</t>
        </is>
      </c>
      <c r="B11" s="22" t="inlineStr">
        <is>
          <t>Verification checklist</t>
        </is>
      </c>
      <c r="C11" s="22" t="inlineStr">
        <is>
          <t>Rendering</t>
        </is>
      </c>
      <c r="D11" s="22" t="inlineStr"/>
      <c r="E11" s="23" t="inlineStr">
        <is>
          <t>A missing lead key renders an empty lane — label and calibration intact, no crash</t>
        </is>
      </c>
      <c r="F11" s="23" t="inlineStr"/>
      <c r="G11" s="23" t="inlineStr"/>
      <c r="H11" s="23" t="inlineStr"/>
      <c r="I11" s="23" t="inlineStr"/>
      <c r="J11" s="23" t="inlineStr"/>
      <c r="K11" s="23" t="inlineStr"/>
    </row>
    <row r="12">
      <c r="A12" s="18" t="inlineStr">
        <is>
          <t>KRP-07</t>
        </is>
      </c>
      <c r="B12" s="19" t="inlineStr">
        <is>
          <t>Verification checklist</t>
        </is>
      </c>
      <c r="C12" s="19" t="inlineStr">
        <is>
          <t>Rendering</t>
        </is>
      </c>
      <c r="D12" s="19" t="inlineStr"/>
      <c r="E12" s="20" t="inlineStr">
        <is>
          <t>A single-sample lead list renders nothing and does not throw</t>
        </is>
      </c>
      <c r="F12" s="20" t="inlineStr"/>
      <c r="G12" s="20" t="inlineStr"/>
      <c r="H12" s="20" t="inlineStr"/>
      <c r="I12" s="20" t="inlineStr"/>
      <c r="J12" s="20" t="inlineStr"/>
      <c r="K12" s="20" t="inlineStr"/>
    </row>
    <row r="13">
      <c r="A13" s="21" t="inlineStr">
        <is>
          <t>KRP-08</t>
        </is>
      </c>
      <c r="B13" s="22" t="inlineStr">
        <is>
          <t>Verification checklist</t>
        </is>
      </c>
      <c r="C13" s="22" t="inlineStr">
        <is>
          <t>Rendering</t>
        </is>
      </c>
      <c r="D13" s="22" t="inlineStr"/>
      <c r="E13" s="23" t="inlineStr">
        <is>
          <t>The 2×6 rhythm strip uses lead II from leadData5000 and spans the full 10 s</t>
        </is>
      </c>
      <c r="F13" s="23" t="inlineStr"/>
      <c r="G13" s="23" t="inlineStr"/>
      <c r="H13" s="23" t="inlineStr"/>
      <c r="I13" s="23" t="inlineStr"/>
      <c r="J13" s="23" t="inlineStr"/>
      <c r="K13" s="23" t="inlineStr"/>
    </row>
    <row r="14">
      <c r="A14" s="18" t="inlineStr">
        <is>
          <t>KRP-09</t>
        </is>
      </c>
      <c r="B14" s="19" t="inlineStr">
        <is>
          <t>Verification checklist</t>
        </is>
      </c>
      <c r="C14" s="19" t="inlineStr">
        <is>
          <t>Geometry — the checks that need a ruler</t>
        </is>
      </c>
      <c r="D14" s="19" t="inlineStr"/>
      <c r="E14" s="20" t="inlineStr">
        <is>
          <t>Exported PDF printed at 100 % scale:</t>
        </is>
      </c>
      <c r="F14" s="20" t="inlineStr">
        <is>
          <t>one large grid box measures 5.0 mm.</t>
        </is>
      </c>
      <c r="G14" s="20" t="inlineStr"/>
      <c r="H14" s="20" t="inlineStr"/>
      <c r="I14" s="20" t="inlineStr"/>
      <c r="J14" s="20" t="inlineStr"/>
      <c r="K14" s="20" t="inlineStr"/>
    </row>
    <row r="15">
      <c r="A15" s="21" t="inlineStr">
        <is>
          <t>KRP-10</t>
        </is>
      </c>
      <c r="B15" s="22" t="inlineStr">
        <is>
          <t>Verification checklist</t>
        </is>
      </c>
      <c r="C15" s="22" t="inlineStr">
        <is>
          <t>Geometry — the checks that need a ruler</t>
        </is>
      </c>
      <c r="D15" s="22" t="inlineStr"/>
      <c r="E15" s="23" t="inlineStr">
        <is>
          <t>The calibration pulse measures 10 mm tall and 5 mm across its top segment</t>
        </is>
      </c>
      <c r="F15" s="23" t="inlineStr"/>
      <c r="G15" s="23" t="inlineStr"/>
      <c r="H15" s="23" t="inlineStr"/>
      <c r="I15" s="23" t="inlineStr"/>
      <c r="J15" s="23" t="inlineStr"/>
      <c r="K15" s="23" t="inlineStr"/>
    </row>
    <row r="16">
      <c r="A16" s="18" t="inlineStr">
        <is>
          <t>KRP-11</t>
        </is>
      </c>
      <c r="B16" s="19" t="inlineStr">
        <is>
          <t>Verification checklist</t>
        </is>
      </c>
      <c r="C16" s="19" t="inlineStr">
        <is>
          <t>Geometry — the checks that need a ruler</t>
        </is>
      </c>
      <c r="D16" s="19" t="inlineStr"/>
      <c r="E16" s="20" t="inlineStr">
        <is>
          <t>A 1 mV deflection in the trace measures 10 mm — one large box</t>
        </is>
      </c>
      <c r="F16" s="20" t="inlineStr"/>
      <c r="G16" s="20" t="inlineStr"/>
      <c r="H16" s="20" t="inlineStr"/>
      <c r="I16" s="20" t="inlineStr"/>
      <c r="J16" s="20" t="inlineStr"/>
      <c r="K16" s="20" t="inlineStr"/>
    </row>
    <row r="17">
      <c r="A17" s="21" t="inlineStr">
        <is>
          <t>KRP-12</t>
        </is>
      </c>
      <c r="B17" s="22" t="inlineStr">
        <is>
          <t>Verification checklist</t>
        </is>
      </c>
      <c r="C17" s="22" t="inlineStr">
        <is>
          <t>Geometry — the checks that need a ruler</t>
        </is>
      </c>
      <c r="D17" s="22" t="inlineStr"/>
      <c r="E17" s="23" t="inlineStr">
        <is>
          <t>One second of signal spans 25 mm — five large boxes</t>
        </is>
      </c>
      <c r="F17" s="23" t="inlineStr"/>
      <c r="G17" s="23" t="inlineStr"/>
      <c r="H17" s="23" t="inlineStr"/>
      <c r="I17" s="23" t="inlineStr"/>
      <c r="J17" s="23" t="inlineStr"/>
      <c r="K17" s="23" t="inlineStr"/>
    </row>
    <row r="18">
      <c r="A18" s="18" t="inlineStr">
        <is>
          <t>KRP-13</t>
        </is>
      </c>
      <c r="B18" s="19" t="inlineStr">
        <is>
          <t>Verification checklist</t>
        </is>
      </c>
      <c r="C18" s="19" t="inlineStr">
        <is>
          <t>Geometry — the checks that need a ruler</t>
        </is>
      </c>
      <c r="D18" s="19" t="inlineStr"/>
      <c r="E18" s="20" t="inlineStr">
        <is>
          <t>No strip is clipped:</t>
        </is>
      </c>
      <c r="F18" s="20" t="inlineStr">
        <is>
          <t>the last sample of each stream is visible within its lane.</t>
        </is>
      </c>
      <c r="G18" s="20" t="inlineStr"/>
      <c r="H18" s="20" t="inlineStr"/>
      <c r="I18" s="20" t="inlineStr"/>
      <c r="J18" s="20" t="inlineStr"/>
      <c r="K18" s="20" t="inlineStr"/>
    </row>
    <row r="19">
      <c r="A19" s="21" t="inlineStr">
        <is>
          <t>KRP-14</t>
        </is>
      </c>
      <c r="B19" s="22" t="inlineStr">
        <is>
          <t>Verification checklist</t>
        </is>
      </c>
      <c r="C19" s="22" t="inlineStr">
        <is>
          <t>Geometry — the checks that need a ruler</t>
        </is>
      </c>
      <c r="D19" s="22" t="inlineStr"/>
      <c r="E19" s="23" t="inlineStr">
        <is>
          <t>Nothing overflows the page in either orientation, including a long organisation name</t>
        </is>
      </c>
      <c r="F19" s="23" t="inlineStr"/>
      <c r="G19" s="23" t="inlineStr"/>
      <c r="H19" s="23" t="inlineStr"/>
      <c r="I19" s="23" t="inlineStr"/>
      <c r="J19" s="23" t="inlineStr"/>
      <c r="K19" s="23" t="inlineStr"/>
    </row>
    <row r="20">
      <c r="A20" s="18" t="inlineStr">
        <is>
          <t>KRP-15</t>
        </is>
      </c>
      <c r="B20" s="19" t="inlineStr">
        <is>
          <t>Verification checklist</t>
        </is>
      </c>
      <c r="C20" s="19" t="inlineStr">
        <is>
          <t>Header and footer</t>
        </is>
      </c>
      <c r="D20" s="19" t="inlineStr"/>
      <c r="E20" s="20" t="inlineStr">
        <is>
          <t>Blank patient fields render as -, not as an empty gap or null</t>
        </is>
      </c>
      <c r="F20" s="20" t="inlineStr"/>
      <c r="G20" s="20" t="inlineStr"/>
      <c r="H20" s="20" t="inlineStr"/>
      <c r="I20" s="20" t="inlineStr"/>
      <c r="J20" s="20" t="inlineStr"/>
      <c r="K20" s="20" t="inlineStr"/>
    </row>
    <row r="21">
      <c r="A21" s="21" t="inlineStr">
        <is>
          <t>KRP-16</t>
        </is>
      </c>
      <c r="B21" s="22" t="inlineStr">
        <is>
          <t>Verification checklist</t>
        </is>
      </c>
      <c r="C21" s="22" t="inlineStr">
        <is>
          <t>Header and footer</t>
        </is>
      </c>
      <c r="D21" s="22" t="inlineStr"/>
      <c r="E21" s="23" t="inlineStr">
        <is>
          <t>The spec line reads 25.0 mm/s 0.5-25 Hz AC:&lt;n&gt;Hz 10.0 mm/mV</t>
        </is>
      </c>
      <c r="F21" s="23" t="inlineStr"/>
      <c r="G21" s="23" t="inlineStr"/>
      <c r="H21" s="23" t="inlineStr"/>
      <c r="I21" s="23" t="inlineStr"/>
      <c r="J21" s="23" t="inlineStr"/>
      <c r="K21" s="23" t="inlineStr"/>
    </row>
    <row r="22">
      <c r="A22" s="18" t="inlineStr">
        <is>
          <t>KRP-17</t>
        </is>
      </c>
      <c r="B22" s="19" t="inlineStr">
        <is>
          <t>Verification checklist</t>
        </is>
      </c>
      <c r="C22" s="19" t="inlineStr">
        <is>
          <t>Header and footer</t>
        </is>
      </c>
      <c r="D22" s="19" t="inlineStr"/>
      <c r="E22" s="20" t="inlineStr">
        <is>
          <t>RV5, SV1 and the index print to 3 decimal places</t>
        </is>
      </c>
      <c r="F22" s="20" t="inlineStr"/>
      <c r="G22" s="20" t="inlineStr"/>
      <c r="H22" s="20" t="inlineStr"/>
      <c r="I22" s="20" t="inlineStr"/>
      <c r="J22" s="20" t="inlineStr"/>
      <c r="K22" s="20" t="inlineStr"/>
    </row>
    <row r="23">
      <c r="A23" s="21" t="inlineStr">
        <is>
          <t>KRP-18</t>
        </is>
      </c>
      <c r="B23" s="22" t="inlineStr">
        <is>
          <t>Verification checklist</t>
        </is>
      </c>
      <c r="C23" s="22" t="inlineStr">
        <is>
          <t>Header and footer</t>
        </is>
      </c>
      <c r="D23" s="22" t="inlineStr"/>
      <c r="E23" s="23" t="inlineStr">
        <is>
          <t>RV5 + SV1 ≥ 3.5 appends *; below the threshold it does not</t>
        </is>
      </c>
      <c r="F23" s="23" t="inlineStr"/>
      <c r="G23" s="23" t="inlineStr"/>
      <c r="H23" s="23" t="inlineStr"/>
      <c r="I23" s="23" t="inlineStr"/>
      <c r="J23" s="23" t="inlineStr"/>
      <c r="K23" s="23" t="inlineStr"/>
    </row>
    <row r="24">
      <c r="A24" s="18" t="inlineStr">
        <is>
          <t>KRP-19</t>
        </is>
      </c>
      <c r="B24" s="19" t="inlineStr">
        <is>
          <t>Verification checklist</t>
        </is>
      </c>
      <c r="C24" s="19" t="inlineStr">
        <is>
          <t>Header and footer</t>
        </is>
      </c>
      <c r="D24" s="19" t="inlineStr"/>
      <c r="E24" s="20" t="inlineStr">
        <is>
          <t>The footer shows the last 4 characters of machineSerial and is horizontally centred</t>
        </is>
      </c>
      <c r="F24" s="20" t="inlineStr"/>
      <c r="G24" s="20" t="inlineStr"/>
      <c r="H24" s="20" t="inlineStr"/>
      <c r="I24" s="20" t="inlineStr"/>
      <c r="J24" s="20" t="inlineStr"/>
      <c r="K24" s="20" t="inlineStr"/>
    </row>
    <row r="25">
      <c r="A25" s="21" t="inlineStr">
        <is>
          <t>KRP-20</t>
        </is>
      </c>
      <c r="B25" s="22" t="inlineStr">
        <is>
          <t>Verification checklist</t>
        </is>
      </c>
      <c r="C25" s="22" t="inlineStr">
        <is>
          <t>Header and footer</t>
        </is>
      </c>
      <c r="D25" s="22" t="inlineStr"/>
      <c r="E25" s="23" t="inlineStr">
        <is>
          <t>hr &lt;= 0 prints exactly "No ECG data available" in the conclusion box and nothing else</t>
        </is>
      </c>
      <c r="F25" s="23" t="inlineStr"/>
      <c r="G25" s="23" t="inlineStr"/>
      <c r="H25" s="23" t="inlineStr"/>
      <c r="I25" s="23" t="inlineStr"/>
      <c r="J25" s="23" t="inlineStr"/>
      <c r="K25" s="23" t="inlineStr"/>
    </row>
    <row r="26">
      <c r="A26" s="18" t="inlineStr">
        <is>
          <t>KRP-21</t>
        </is>
      </c>
      <c r="B26" s="19" t="inlineStr">
        <is>
          <t>Verification checklist</t>
        </is>
      </c>
      <c r="C26" s="19" t="inlineStr">
        <is>
          <t>Header and footer</t>
        </is>
      </c>
      <c r="D26" s="19" t="inlineStr"/>
      <c r="E26" s="20" t="inlineStr">
        <is>
          <t>Blank conclusions and "---" are filtered out</t>
        </is>
      </c>
      <c r="F26" s="20" t="inlineStr"/>
      <c r="G26" s="20" t="inlineStr"/>
      <c r="H26" s="20" t="inlineStr"/>
      <c r="I26" s="20" t="inlineStr"/>
      <c r="J26" s="20" t="inlineStr"/>
      <c r="K26" s="20" t="inlineStr"/>
    </row>
    <row r="27">
      <c r="A27" s="21" t="inlineStr">
        <is>
          <t>KRP-22</t>
        </is>
      </c>
      <c r="B27" s="22" t="inlineStr">
        <is>
          <t>Verification checklist</t>
        </is>
      </c>
      <c r="C27" s="22" t="inlineStr">
        <is>
          <t>Header and footer</t>
        </is>
      </c>
      <c r="D27" s="22" t="inlineStr"/>
      <c r="E27" s="23" t="inlineStr">
        <is>
          <t>Conclusions stay inside the box border in both orientations; numbering is sequential from 1</t>
        </is>
      </c>
      <c r="F27" s="23" t="inlineStr"/>
      <c r="G27" s="23" t="inlineStr"/>
      <c r="H27" s="23" t="inlineStr"/>
      <c r="I27" s="23" t="inlineStr"/>
      <c r="J27" s="23" t="inlineStr"/>
      <c r="K27" s="23" t="inlineStr"/>
    </row>
    <row r="28">
      <c r="A28" s="18" t="inlineStr">
        <is>
          <t>KRP-23</t>
        </is>
      </c>
      <c r="B28" s="19" t="inlineStr">
        <is>
          <t>Verification checklist</t>
        </is>
      </c>
      <c r="C28" s="19" t="inlineStr">
        <is>
          <t>Interaction</t>
        </is>
      </c>
      <c r="D28" s="19" t="inlineStr"/>
      <c r="E28" s="20" t="inlineStr">
        <is>
          <t>The spinner and "Rendering ECG report…" appear, then resolve to the report</t>
        </is>
      </c>
      <c r="F28" s="20" t="inlineStr"/>
      <c r="G28" s="20" t="inlineStr"/>
      <c r="H28" s="20" t="inlineStr"/>
      <c r="I28" s="20" t="inlineStr"/>
      <c r="J28" s="20" t="inlineStr"/>
      <c r="K28" s="20" t="inlineStr"/>
    </row>
    <row r="29">
      <c r="A29" s="21" t="inlineStr">
        <is>
          <t>KRP-24</t>
        </is>
      </c>
      <c r="B29" s="22" t="inlineStr">
        <is>
          <t>Verification checklist</t>
        </is>
      </c>
      <c r="C29" s="22" t="inlineStr">
        <is>
          <t>Interaction</t>
        </is>
      </c>
      <c r="D29" s="22" t="inlineStr"/>
      <c r="E29" s="23" t="inlineStr">
        <is>
          <t>Pinch-zoom clamps at 0.5× and 8×</t>
        </is>
      </c>
      <c r="F29" s="23" t="inlineStr"/>
      <c r="G29" s="23" t="inlineStr"/>
      <c r="H29" s="23" t="inlineStr"/>
      <c r="I29" s="23" t="inlineStr"/>
      <c r="J29" s="23" t="inlineStr"/>
      <c r="K29" s="23" t="inlineStr"/>
    </row>
    <row r="30">
      <c r="A30" s="18" t="inlineStr">
        <is>
          <t>KRP-25</t>
        </is>
      </c>
      <c r="B30" s="19" t="inlineStr">
        <is>
          <t>Verification checklist</t>
        </is>
      </c>
      <c r="C30" s="19" t="inlineStr">
        <is>
          <t>Interaction</t>
        </is>
      </c>
      <c r="D30" s="19" t="inlineStr"/>
      <c r="E30" s="20" t="inlineStr">
        <is>
          <t>Pan moves the report smoothly</t>
        </is>
      </c>
      <c r="F30" s="20" t="inlineStr">
        <is>
          <t>(Known issue: pan is unbounded — record the behaviour.)</t>
        </is>
      </c>
      <c r="G30" s="20" t="inlineStr"/>
      <c r="H30" s="20" t="inlineStr"/>
      <c r="I30" s="20" t="inlineStr"/>
      <c r="J30" s="20" t="inlineStr"/>
      <c r="K30" s="20" t="inlineStr"/>
    </row>
    <row r="31">
      <c r="A31" s="21" t="inlineStr">
        <is>
          <t>KRP-26</t>
        </is>
      </c>
      <c r="B31" s="22" t="inlineStr">
        <is>
          <t>Verification checklist</t>
        </is>
      </c>
      <c r="C31" s="22" t="inlineStr">
        <is>
          <t>Interaction</t>
        </is>
      </c>
      <c r="D31" s="22" t="inlineStr"/>
      <c r="E31" s="23" t="inlineStr">
        <is>
          <t>Rotating the device re-renders at the new width without crashing</t>
        </is>
      </c>
      <c r="F31" s="23" t="inlineStr"/>
      <c r="G31" s="23" t="inlineStr"/>
      <c r="H31" s="23" t="inlineStr"/>
      <c r="I31" s="23" t="inlineStr"/>
      <c r="J31" s="23" t="inlineStr"/>
      <c r="K31" s="23" t="inlineStr"/>
    </row>
    <row r="32">
      <c r="A32" s="18" t="inlineStr">
        <is>
          <t>KRP-27</t>
        </is>
      </c>
      <c r="B32" s="19" t="inlineStr">
        <is>
          <t>Verification checklist</t>
        </is>
      </c>
      <c r="C32" s="19" t="inlineStr">
        <is>
          <t>Interaction</t>
        </is>
      </c>
      <c r="D32" s="19" t="inlineStr"/>
      <c r="E32" s="20" t="inlineStr">
        <is>
          <t>Back navigation leaves the screen cleanly and cancels any in-flight render</t>
        </is>
      </c>
      <c r="F32" s="20" t="inlineStr"/>
      <c r="G32" s="20" t="inlineStr"/>
      <c r="H32" s="20" t="inlineStr"/>
      <c r="I32" s="20" t="inlineStr"/>
      <c r="J32" s="20" t="inlineStr"/>
      <c r="K32" s="20" t="inlineStr"/>
    </row>
    <row r="33">
      <c r="A33" s="21" t="inlineStr">
        <is>
          <t>KRP-28</t>
        </is>
      </c>
      <c r="B33" s="22" t="inlineStr">
        <is>
          <t>Verification checklist</t>
        </is>
      </c>
      <c r="C33" s="22" t="inlineStr">
        <is>
          <t>Share and download</t>
        </is>
      </c>
      <c r="D33" s="22" t="inlineStr"/>
      <c r="E33" s="23" t="inlineStr">
        <is>
          <t>Share opens the system chooser; the recipient app can open the PDF</t>
        </is>
      </c>
      <c r="F33" s="23" t="inlineStr"/>
      <c r="G33" s="23" t="inlineStr"/>
      <c r="H33" s="23" t="inlineStr"/>
      <c r="I33" s="23" t="inlineStr"/>
      <c r="J33" s="23" t="inlineStr"/>
      <c r="K33" s="23" t="inlineStr"/>
    </row>
    <row r="34">
      <c r="A34" s="18" t="inlineStr">
        <is>
          <t>KRP-29</t>
        </is>
      </c>
      <c r="B34" s="19" t="inlineStr">
        <is>
          <t>Verification checklist</t>
        </is>
      </c>
      <c r="C34" s="19" t="inlineStr">
        <is>
          <t>Share and download</t>
        </is>
      </c>
      <c r="D34" s="19" t="inlineStr"/>
      <c r="E34" s="20" t="inlineStr">
        <is>
          <t>The share spinner shows during generation and both actions disable</t>
        </is>
      </c>
      <c r="F34" s="20" t="inlineStr"/>
      <c r="G34" s="20" t="inlineStr"/>
      <c r="H34" s="20" t="inlineStr"/>
      <c r="I34" s="20" t="inlineStr"/>
      <c r="J34" s="20" t="inlineStr"/>
      <c r="K34" s="20" t="inlineStr"/>
    </row>
    <row r="35">
      <c r="A35" s="21" t="inlineStr">
        <is>
          <t>KRP-30</t>
        </is>
      </c>
      <c r="B35" s="22" t="inlineStr">
        <is>
          <t>Verification checklist</t>
        </is>
      </c>
      <c r="C35" s="22" t="inlineStr">
        <is>
          <t>Share and download</t>
        </is>
      </c>
      <c r="D35" s="22" t="inlineStr"/>
      <c r="E35" s="23" t="inlineStr">
        <is>
          <t>Rapid double-tap on Share starts exactly one operation (mutex)</t>
        </is>
      </c>
      <c r="F35" s="23" t="inlineStr"/>
      <c r="G35" s="23" t="inlineStr"/>
      <c r="H35" s="23" t="inlineStr"/>
      <c r="I35" s="23" t="inlineStr"/>
      <c r="J35" s="23" t="inlineStr"/>
      <c r="K35" s="23" t="inlineStr"/>
    </row>
    <row r="36">
      <c r="A36" s="18" t="inlineStr">
        <is>
          <t>KRP-31</t>
        </is>
      </c>
      <c r="B36" s="19" t="inlineStr">
        <is>
          <t>Verification checklist</t>
        </is>
      </c>
      <c r="C36" s="19" t="inlineStr">
        <is>
          <t>Share and download</t>
        </is>
      </c>
      <c r="D36" s="19" t="inlineStr"/>
      <c r="E36" s="20" t="inlineStr">
        <is>
          <t>Rapid double-tap on Download starts exactly one operation</t>
        </is>
      </c>
      <c r="F36" s="20" t="inlineStr">
        <is>
          <t>(Known issue: currently fails — isExporting is never set. See §10.1.)</t>
        </is>
      </c>
      <c r="G36" s="20" t="inlineStr"/>
      <c r="H36" s="20" t="inlineStr"/>
      <c r="I36" s="20" t="inlineStr"/>
      <c r="J36" s="20" t="inlineStr"/>
      <c r="K36" s="20" t="inlineStr"/>
    </row>
    <row r="37">
      <c r="A37" s="21" t="inlineStr">
        <is>
          <t>KRP-32</t>
        </is>
      </c>
      <c r="B37" s="22" t="inlineStr">
        <is>
          <t>Verification checklist</t>
        </is>
      </c>
      <c r="C37" s="22" t="inlineStr">
        <is>
          <t>Share and download</t>
        </is>
      </c>
      <c r="D37" s="22" t="inlineStr"/>
      <c r="E37" s="23" t="inlineStr">
        <is>
          <t>Download opens the SAF picker pre-filled with RhythmPro_ECG_&lt;timestamp&gt;.pdf</t>
        </is>
      </c>
      <c r="F37" s="23" t="inlineStr"/>
      <c r="G37" s="23" t="inlineStr"/>
      <c r="H37" s="23" t="inlineStr"/>
      <c r="I37" s="23" t="inlineStr"/>
      <c r="J37" s="23" t="inlineStr"/>
      <c r="K37" s="23" t="inlineStr"/>
    </row>
    <row r="38">
      <c r="A38" s="18" t="inlineStr">
        <is>
          <t>KRP-33</t>
        </is>
      </c>
      <c r="B38" s="19" t="inlineStr">
        <is>
          <t>Verification checklist</t>
        </is>
      </c>
      <c r="C38" s="19" t="inlineStr">
        <is>
          <t>Share and download</t>
        </is>
      </c>
      <c r="D38" s="19" t="inlineStr"/>
      <c r="E38" s="20" t="inlineStr">
        <is>
          <t>Saving writes a valid PDF to the chosen location and toasts success</t>
        </is>
      </c>
      <c r="F38" s="20" t="inlineStr"/>
      <c r="G38" s="20" t="inlineStr"/>
      <c r="H38" s="20" t="inlineStr"/>
      <c r="I38" s="20" t="inlineStr"/>
      <c r="J38" s="20" t="inlineStr"/>
      <c r="K38" s="20" t="inlineStr"/>
    </row>
    <row r="39">
      <c r="A39" s="21" t="inlineStr">
        <is>
          <t>KRP-34</t>
        </is>
      </c>
      <c r="B39" s="22" t="inlineStr">
        <is>
          <t>Verification checklist</t>
        </is>
      </c>
      <c r="C39" s="22" t="inlineStr">
        <is>
          <t>Share and download</t>
        </is>
      </c>
      <c r="D39" s="22" t="inlineStr"/>
      <c r="E39" s="23" t="inlineStr">
        <is>
          <t>Cancelling the picker deletes the temp file and leaves no orphan in cacheDir/shared_pdfs</t>
        </is>
      </c>
      <c r="F39" s="23" t="inlineStr"/>
      <c r="G39" s="23" t="inlineStr"/>
      <c r="H39" s="23" t="inlineStr"/>
      <c r="I39" s="23" t="inlineStr"/>
      <c r="J39" s="23" t="inlineStr"/>
      <c r="K39" s="23" t="inlineStr"/>
    </row>
    <row r="40">
      <c r="A40" s="18" t="inlineStr">
        <is>
          <t>KRP-35</t>
        </is>
      </c>
      <c r="B40" s="19" t="inlineStr">
        <is>
          <t>Verification checklist</t>
        </is>
      </c>
      <c r="C40" s="19" t="inlineStr">
        <is>
          <t>Share and download</t>
        </is>
      </c>
      <c r="D40" s="19" t="inlineStr"/>
      <c r="E40" s="20" t="inlineStr">
        <is>
          <t>The exported PDF opens in Drive, Adobe Reader and Chrome</t>
        </is>
      </c>
      <c r="F40" s="20" t="inlineStr"/>
      <c r="G40" s="20" t="inlineStr"/>
      <c r="H40" s="20" t="inlineStr"/>
      <c r="I40" s="20" t="inlineStr"/>
      <c r="J40" s="20" t="inlineStr"/>
      <c r="K40" s="20" t="inlineStr"/>
    </row>
    <row r="41">
      <c r="A41" s="21" t="inlineStr">
        <is>
          <t>KRP-36</t>
        </is>
      </c>
      <c r="B41" s="22" t="inlineStr">
        <is>
          <t>Verification checklist</t>
        </is>
      </c>
      <c r="C41" s="22" t="inlineStr">
        <is>
          <t>Share and download</t>
        </is>
      </c>
      <c r="D41" s="22" t="inlineStr"/>
      <c r="E41" s="23" t="inlineStr">
        <is>
          <t>Filenames use Gregorian years on a device with a non-Gregorian default locale</t>
        </is>
      </c>
      <c r="F41" s="23" t="inlineStr">
        <is>
          <t>(Known issue — see §11.)</t>
        </is>
      </c>
      <c r="G41" s="23" t="inlineStr"/>
      <c r="H41" s="23" t="inlineStr"/>
      <c r="I41" s="23" t="inlineStr"/>
      <c r="J41" s="23" t="inlineStr"/>
      <c r="K41" s="23" t="inlineStr"/>
    </row>
    <row r="42">
      <c r="A42" s="18" t="inlineStr">
        <is>
          <t>KRP-37</t>
        </is>
      </c>
      <c r="B42" s="19" t="inlineStr">
        <is>
          <t>Verification checklist</t>
        </is>
      </c>
      <c r="C42" s="19" t="inlineStr">
        <is>
          <t>Robustness</t>
        </is>
      </c>
      <c r="D42" s="19" t="inlineStr"/>
      <c r="E42" s="20" t="inlineStr">
        <is>
          <t>Rendering ten reports in sequence causes no OutOfMemoryError on a 3 GB device</t>
        </is>
      </c>
      <c r="F42" s="20" t="inlineStr"/>
      <c r="G42" s="20" t="inlineStr"/>
      <c r="H42" s="20" t="inlineStr"/>
      <c r="I42" s="20" t="inlineStr"/>
      <c r="J42" s="20" t="inlineStr"/>
      <c r="K42" s="20" t="inlineStr"/>
    </row>
    <row r="43">
      <c r="A43" s="21" t="inlineStr">
        <is>
          <t>KRP-38</t>
        </is>
      </c>
      <c r="B43" s="22" t="inlineStr">
        <is>
          <t>Verification checklist</t>
        </is>
      </c>
      <c r="C43" s="22" t="inlineStr">
        <is>
          <t>Robustness</t>
        </is>
      </c>
      <c r="D43" s="22" t="inlineStr"/>
      <c r="E43" s="23" t="inlineStr">
        <is>
          <t>NaN in a sample list does not crash the renderer</t>
        </is>
      </c>
      <c r="F43" s="23" t="inlineStr"/>
      <c r="G43" s="23" t="inlineStr"/>
      <c r="H43" s="23" t="inlineStr"/>
      <c r="I43" s="23" t="inlineStr"/>
      <c r="J43" s="23" t="inlineStr"/>
      <c r="K43" s="23" t="inlineStr"/>
    </row>
    <row r="44">
      <c r="A44" s="18" t="inlineStr">
        <is>
          <t>KRP-39</t>
        </is>
      </c>
      <c r="B44" s="19" t="inlineStr">
        <is>
          <t>Verification checklist</t>
        </is>
      </c>
      <c r="C44" s="19" t="inlineStr">
        <is>
          <t>Robustness</t>
        </is>
      </c>
      <c r="D44" s="19" t="inlineStr"/>
      <c r="E44" s="20" t="inlineStr">
        <is>
          <t>A render failure is logged under tag ECGReportScreen and does not crash the app</t>
        </is>
      </c>
      <c r="F44" s="20" t="inlineStr"/>
      <c r="G44" s="20" t="inlineStr"/>
      <c r="H44" s="20" t="inlineStr"/>
      <c r="I44" s="20" t="inlineStr"/>
      <c r="J44" s="20" t="inlineStr"/>
      <c r="K44" s="20" t="inlineStr"/>
    </row>
    <row r="45">
      <c r="A45" s="21" t="inlineStr">
        <is>
          <t>KRP-40</t>
        </is>
      </c>
      <c r="B45" s="22" t="inlineStr">
        <is>
          <t>Verification checklist</t>
        </is>
      </c>
      <c r="C45" s="22" t="inlineStr">
        <is>
          <t>Robustness</t>
        </is>
      </c>
      <c r="D45" s="22" t="inlineStr"/>
      <c r="E45" s="23" t="inlineStr">
        <is>
          <t>generateECGPdf returning null surfaces "PDF generation failed" to the user</t>
        </is>
      </c>
      <c r="F45" s="23" t="inlineStr"/>
      <c r="G45" s="23" t="inlineStr"/>
      <c r="H45" s="23" t="inlineStr"/>
      <c r="I45" s="23" t="inlineStr"/>
      <c r="J45" s="23" t="inlineStr"/>
      <c r="K45" s="23" t="inlineStr"/>
    </row>
  </sheetData>
  <autoFilter ref="A4:K45"/>
  <mergeCells count="3">
    <mergeCell ref="A2:K2"/>
    <mergeCell ref="A1:K1"/>
    <mergeCell ref="A5:K5"/>
  </mergeCells>
  <conditionalFormatting sqref="G5:G45">
    <cfRule type="cellIs" priority="1" operator="equal" dxfId="0">
      <formula>"PASS"</formula>
    </cfRule>
    <cfRule type="cellIs" priority="2" operator="equal" dxfId="1">
      <formula>"FAIL"</formula>
    </cfRule>
    <cfRule type="cellIs" priority="3" operator="equal" dxfId="2">
      <formula>"N/A"</formula>
    </cfRule>
    <cfRule type="cellIs" priority="4" operator="equal" dxfId="3">
      <formula>"BLOCKED"</formula>
    </cfRule>
  </conditionalFormatting>
  <dataValidations count="1">
    <dataValidation sqref="G5:G45" showDropDown="0" showInputMessage="0" showErrorMessage="0" allowBlank="1" promptTitle="Result" prompt="Select the outcome for this check" type="list">
      <formula1>"PASS,FAIL,N/A,BLOCKED"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31"/>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s>
  <sheetData>
    <row r="2">
      <c r="B2" s="8" t="inlineStr">
        <is>
          <t>Release summary</t>
        </is>
      </c>
    </row>
    <row r="3">
      <c r="B3" s="9" t="inlineStr">
        <is>
          <t>Formulas are live — these totals update as the checklist is filled in.</t>
        </is>
      </c>
    </row>
    <row r="5" ht="28" customHeight="1">
      <c r="A5" s="16" t="n"/>
      <c r="B5" s="16" t="inlineStr">
        <is>
          <t>Layer</t>
        </is>
      </c>
      <c r="C5" s="16" t="inlineStr">
        <is>
          <t>Blocking</t>
        </is>
      </c>
      <c r="D5" s="16" t="inlineStr">
        <is>
          <t>Checks</t>
        </is>
      </c>
      <c r="E5" s="16" t="inlineStr">
        <is>
          <t>PASS</t>
        </is>
      </c>
      <c r="F5" s="16" t="inlineStr">
        <is>
          <t>FAIL</t>
        </is>
      </c>
      <c r="G5" s="16" t="inlineStr">
        <is>
          <t>N/A</t>
        </is>
      </c>
      <c r="H5" s="16" t="inlineStr">
        <is>
          <t>Outstanding</t>
        </is>
      </c>
    </row>
    <row r="6">
      <c r="B6" s="26" t="inlineStr">
        <is>
          <t>Test environment preparation</t>
        </is>
      </c>
      <c r="C6" s="27" t="inlineStr"/>
      <c r="D6" s="27">
        <f>COUNTIFS('EXE Checklist'!$B:$B,$B6)</f>
        <v/>
      </c>
      <c r="E6" s="27">
        <f>COUNTIFS('EXE Checklist'!$B:$B,$B6,'EXE Checklist'!$F:$F,"PASS")</f>
        <v/>
      </c>
      <c r="F6" s="27">
        <f>COUNTIFS('EXE Checklist'!$B:$B,$B6,'EXE Checklist'!$F:$F,"FAIL")</f>
        <v/>
      </c>
      <c r="G6" s="27">
        <f>COUNTIFS('EXE Checklist'!$B:$B,$B6,'EXE Checklist'!$F:$F,"N/A")</f>
        <v/>
      </c>
      <c r="H6" s="27">
        <f>D6-E6-F6-G6</f>
        <v/>
      </c>
    </row>
    <row r="7">
      <c r="B7" s="26" t="inlineStr">
        <is>
          <t>Automated unit tests</t>
        </is>
      </c>
      <c r="C7" s="28" t="inlineStr">
        <is>
          <t>YES</t>
        </is>
      </c>
      <c r="D7" s="27">
        <f>COUNTIFS('EXE Checklist'!$B:$B,$B7)</f>
        <v/>
      </c>
      <c r="E7" s="27">
        <f>COUNTIFS('EXE Checklist'!$B:$B,$B7,'EXE Checklist'!$F:$F,"PASS")</f>
        <v/>
      </c>
      <c r="F7" s="27">
        <f>COUNTIFS('EXE Checklist'!$B:$B,$B7,'EXE Checklist'!$F:$F,"FAIL")</f>
        <v/>
      </c>
      <c r="G7" s="27">
        <f>COUNTIFS('EXE Checklist'!$B:$B,$B7,'EXE Checklist'!$F:$F,"N/A")</f>
        <v/>
      </c>
      <c r="H7" s="27">
        <f>D7-E7-F7-G7</f>
        <v/>
      </c>
    </row>
    <row r="8">
      <c r="B8" s="26" t="inlineStr">
        <is>
          <t>Build verification</t>
        </is>
      </c>
      <c r="C8" s="28" t="inlineStr">
        <is>
          <t>YES</t>
        </is>
      </c>
      <c r="D8" s="27">
        <f>COUNTIFS('EXE Checklist'!$B:$B,$B8)</f>
        <v/>
      </c>
      <c r="E8" s="27">
        <f>COUNTIFS('EXE Checklist'!$B:$B,$B8,'EXE Checklist'!$F:$F,"PASS")</f>
        <v/>
      </c>
      <c r="F8" s="27">
        <f>COUNTIFS('EXE Checklist'!$B:$B,$B8,'EXE Checklist'!$F:$F,"FAIL")</f>
        <v/>
      </c>
      <c r="G8" s="27">
        <f>COUNTIFS('EXE Checklist'!$B:$B,$B8,'EXE Checklist'!$F:$F,"N/A")</f>
        <v/>
      </c>
      <c r="H8" s="27">
        <f>D8-E8-F8-G8</f>
        <v/>
      </c>
    </row>
    <row r="9">
      <c r="B9" s="26" t="inlineStr">
        <is>
          <t>Installer</t>
        </is>
      </c>
      <c r="C9" s="28" t="inlineStr">
        <is>
          <t>YES</t>
        </is>
      </c>
      <c r="D9" s="27">
        <f>COUNTIFS('EXE Checklist'!$B:$B,$B9)</f>
        <v/>
      </c>
      <c r="E9" s="27">
        <f>COUNTIFS('EXE Checklist'!$B:$B,$B9,'EXE Checklist'!$F:$F,"PASS")</f>
        <v/>
      </c>
      <c r="F9" s="27">
        <f>COUNTIFS('EXE Checklist'!$B:$B,$B9,'EXE Checklist'!$F:$F,"FAIL")</f>
        <v/>
      </c>
      <c r="G9" s="27">
        <f>COUNTIFS('EXE Checklist'!$B:$B,$B9,'EXE Checklist'!$F:$F,"N/A")</f>
        <v/>
      </c>
      <c r="H9" s="27">
        <f>D9-E9-F9-G9</f>
        <v/>
      </c>
    </row>
    <row r="10">
      <c r="B10" s="26" t="inlineStr">
        <is>
          <t>First launch / cold start</t>
        </is>
      </c>
      <c r="C10" s="28" t="inlineStr">
        <is>
          <t>YES</t>
        </is>
      </c>
      <c r="D10" s="27">
        <f>COUNTIFS('EXE Checklist'!$B:$B,$B10)</f>
        <v/>
      </c>
      <c r="E10" s="27">
        <f>COUNTIFS('EXE Checklist'!$B:$B,$B10,'EXE Checklist'!$F:$F,"PASS")</f>
        <v/>
      </c>
      <c r="F10" s="27">
        <f>COUNTIFS('EXE Checklist'!$B:$B,$B10,'EXE Checklist'!$F:$F,"FAIL")</f>
        <v/>
      </c>
      <c r="G10" s="27">
        <f>COUNTIFS('EXE Checklist'!$B:$B,$B10,'EXE Checklist'!$F:$F,"N/A")</f>
        <v/>
      </c>
      <c r="H10" s="27">
        <f>D10-E10-F10-G10</f>
        <v/>
      </c>
    </row>
    <row r="11">
      <c r="B11" s="26" t="inlineStr">
        <is>
          <t>Licensing &amp; device authorization</t>
        </is>
      </c>
      <c r="C11" s="28" t="inlineStr">
        <is>
          <t>YES</t>
        </is>
      </c>
      <c r="D11" s="27">
        <f>COUNTIFS('EXE Checklist'!$B:$B,$B11)</f>
        <v/>
      </c>
      <c r="E11" s="27">
        <f>COUNTIFS('EXE Checklist'!$B:$B,$B11,'EXE Checklist'!$F:$F,"PASS")</f>
        <v/>
      </c>
      <c r="F11" s="27">
        <f>COUNTIFS('EXE Checklist'!$B:$B,$B11,'EXE Checklist'!$F:$F,"FAIL")</f>
        <v/>
      </c>
      <c r="G11" s="27">
        <f>COUNTIFS('EXE Checklist'!$B:$B,$B11,'EXE Checklist'!$F:$F,"N/A")</f>
        <v/>
      </c>
      <c r="H11" s="27">
        <f>D11-E11-F11-G11</f>
        <v/>
      </c>
    </row>
    <row r="12">
      <c r="B12" s="26" t="inlineStr">
        <is>
          <t>Device / hardware</t>
        </is>
      </c>
      <c r="C12" s="27" t="inlineStr"/>
      <c r="D12" s="27">
        <f>COUNTIFS('EXE Checklist'!$B:$B,$B12)</f>
        <v/>
      </c>
      <c r="E12" s="27">
        <f>COUNTIFS('EXE Checklist'!$B:$B,$B12,'EXE Checklist'!$F:$F,"PASS")</f>
        <v/>
      </c>
      <c r="F12" s="27">
        <f>COUNTIFS('EXE Checklist'!$B:$B,$B12,'EXE Checklist'!$F:$F,"FAIL")</f>
        <v/>
      </c>
      <c r="G12" s="27">
        <f>COUNTIFS('EXE Checklist'!$B:$B,$B12,'EXE Checklist'!$F:$F,"N/A")</f>
        <v/>
      </c>
      <c r="H12" s="27">
        <f>D12-E12-F12-G12</f>
        <v/>
      </c>
    </row>
    <row r="13">
      <c r="B13" s="26" t="inlineStr">
        <is>
          <t>12-Lead ECG module</t>
        </is>
      </c>
      <c r="C13" s="27" t="inlineStr"/>
      <c r="D13" s="27">
        <f>COUNTIFS('EXE Checklist'!$B:$B,$B13)</f>
        <v/>
      </c>
      <c r="E13" s="27">
        <f>COUNTIFS('EXE Checklist'!$B:$B,$B13,'EXE Checklist'!$F:$F,"PASS")</f>
        <v/>
      </c>
      <c r="F13" s="27">
        <f>COUNTIFS('EXE Checklist'!$B:$B,$B13,'EXE Checklist'!$F:$F,"FAIL")</f>
        <v/>
      </c>
      <c r="G13" s="27">
        <f>COUNTIFS('EXE Checklist'!$B:$B,$B13,'EXE Checklist'!$F:$F,"N/A")</f>
        <v/>
      </c>
      <c r="H13" s="27">
        <f>D13-E13-F13-G13</f>
        <v/>
      </c>
    </row>
    <row r="14">
      <c r="B14" s="26" t="inlineStr">
        <is>
          <t>HRV module</t>
        </is>
      </c>
      <c r="C14" s="27" t="inlineStr"/>
      <c r="D14" s="27">
        <f>COUNTIFS('EXE Checklist'!$B:$B,$B14)</f>
        <v/>
      </c>
      <c r="E14" s="27">
        <f>COUNTIFS('EXE Checklist'!$B:$B,$B14,'EXE Checklist'!$F:$F,"PASS")</f>
        <v/>
      </c>
      <c r="F14" s="27">
        <f>COUNTIFS('EXE Checklist'!$B:$B,$B14,'EXE Checklist'!$F:$F,"FAIL")</f>
        <v/>
      </c>
      <c r="G14" s="27">
        <f>COUNTIFS('EXE Checklist'!$B:$B,$B14,'EXE Checklist'!$F:$F,"N/A")</f>
        <v/>
      </c>
      <c r="H14" s="27">
        <f>D14-E14-F14-G14</f>
        <v/>
      </c>
    </row>
    <row r="15">
      <c r="B15" s="26" t="inlineStr">
        <is>
          <t>Hyperkalemia module</t>
        </is>
      </c>
      <c r="C15" s="27" t="inlineStr"/>
      <c r="D15" s="27">
        <f>COUNTIFS('EXE Checklist'!$B:$B,$B15)</f>
        <v/>
      </c>
      <c r="E15" s="27">
        <f>COUNTIFS('EXE Checklist'!$B:$B,$B15,'EXE Checklist'!$F:$F,"PASS")</f>
        <v/>
      </c>
      <c r="F15" s="27">
        <f>COUNTIFS('EXE Checklist'!$B:$B,$B15,'EXE Checklist'!$F:$F,"FAIL")</f>
        <v/>
      </c>
      <c r="G15" s="27">
        <f>COUNTIFS('EXE Checklist'!$B:$B,$B15,'EXE Checklist'!$F:$F,"N/A")</f>
        <v/>
      </c>
      <c r="H15" s="27">
        <f>D15-E15-F15-G15</f>
        <v/>
      </c>
    </row>
    <row r="16">
      <c r="B16" s="26" t="inlineStr">
        <is>
          <t>Reports &amp; PDF</t>
        </is>
      </c>
      <c r="C16" s="27" t="inlineStr"/>
      <c r="D16" s="27">
        <f>COUNTIFS('EXE Checklist'!$B:$B,$B16)</f>
        <v/>
      </c>
      <c r="E16" s="27">
        <f>COUNTIFS('EXE Checklist'!$B:$B,$B16,'EXE Checklist'!$F:$F,"PASS")</f>
        <v/>
      </c>
      <c r="F16" s="27">
        <f>COUNTIFS('EXE Checklist'!$B:$B,$B16,'EXE Checklist'!$F:$F,"FAIL")</f>
        <v/>
      </c>
      <c r="G16" s="27">
        <f>COUNTIFS('EXE Checklist'!$B:$B,$B16,'EXE Checklist'!$F:$F,"N/A")</f>
        <v/>
      </c>
      <c r="H16" s="27">
        <f>D16-E16-F16-G16</f>
        <v/>
      </c>
    </row>
    <row r="17">
      <c r="B17" s="26" t="inlineStr">
        <is>
          <t>History</t>
        </is>
      </c>
      <c r="C17" s="27" t="inlineStr"/>
      <c r="D17" s="27">
        <f>COUNTIFS('EXE Checklist'!$B:$B,$B17)</f>
        <v/>
      </c>
      <c r="E17" s="27">
        <f>COUNTIFS('EXE Checklist'!$B:$B,$B17,'EXE Checklist'!$F:$F,"PASS")</f>
        <v/>
      </c>
      <c r="F17" s="27">
        <f>COUNTIFS('EXE Checklist'!$B:$B,$B17,'EXE Checklist'!$F:$F,"FAIL")</f>
        <v/>
      </c>
      <c r="G17" s="27">
        <f>COUNTIFS('EXE Checklist'!$B:$B,$B17,'EXE Checklist'!$F:$F,"N/A")</f>
        <v/>
      </c>
      <c r="H17" s="27">
        <f>D17-E17-F17-G17</f>
        <v/>
      </c>
    </row>
    <row r="18">
      <c r="B18" s="26" t="inlineStr">
        <is>
          <t>Cloud sync &amp; offline queue</t>
        </is>
      </c>
      <c r="C18" s="27" t="inlineStr"/>
      <c r="D18" s="27">
        <f>COUNTIFS('EXE Checklist'!$B:$B,$B18)</f>
        <v/>
      </c>
      <c r="E18" s="27">
        <f>COUNTIFS('EXE Checklist'!$B:$B,$B18,'EXE Checklist'!$F:$F,"PASS")</f>
        <v/>
      </c>
      <c r="F18" s="27">
        <f>COUNTIFS('EXE Checklist'!$B:$B,$B18,'EXE Checklist'!$F:$F,"FAIL")</f>
        <v/>
      </c>
      <c r="G18" s="27">
        <f>COUNTIFS('EXE Checklist'!$B:$B,$B18,'EXE Checklist'!$F:$F,"N/A")</f>
        <v/>
      </c>
      <c r="H18" s="27">
        <f>D18-E18-F18-G18</f>
        <v/>
      </c>
    </row>
    <row r="19">
      <c r="B19" s="26" t="inlineStr">
        <is>
          <t>Doctor review upload</t>
        </is>
      </c>
      <c r="C19" s="27" t="inlineStr"/>
      <c r="D19" s="27">
        <f>COUNTIFS('EXE Checklist'!$B:$B,$B19)</f>
        <v/>
      </c>
      <c r="E19" s="27">
        <f>COUNTIFS('EXE Checklist'!$B:$B,$B19,'EXE Checklist'!$F:$F,"PASS")</f>
        <v/>
      </c>
      <c r="F19" s="27">
        <f>COUNTIFS('EXE Checklist'!$B:$B,$B19,'EXE Checklist'!$F:$F,"FAIL")</f>
        <v/>
      </c>
      <c r="G19" s="27">
        <f>COUNTIFS('EXE Checklist'!$B:$B,$B19,'EXE Checklist'!$F:$F,"N/A")</f>
        <v/>
      </c>
      <c r="H19" s="27">
        <f>D19-E19-F19-G19</f>
        <v/>
      </c>
    </row>
    <row r="20">
      <c r="B20" s="26" t="inlineStr">
        <is>
          <t>Dashboard, settings &amp; auxiliary UI</t>
        </is>
      </c>
      <c r="C20" s="27" t="inlineStr"/>
      <c r="D20" s="27">
        <f>COUNTIFS('EXE Checklist'!$B:$B,$B20)</f>
        <v/>
      </c>
      <c r="E20" s="27">
        <f>COUNTIFS('EXE Checklist'!$B:$B,$B20,'EXE Checklist'!$F:$F,"PASS")</f>
        <v/>
      </c>
      <c r="F20" s="27">
        <f>COUNTIFS('EXE Checklist'!$B:$B,$B20,'EXE Checklist'!$F:$F,"FAIL")</f>
        <v/>
      </c>
      <c r="G20" s="27">
        <f>COUNTIFS('EXE Checklist'!$B:$B,$B20,'EXE Checklist'!$F:$F,"N/A")</f>
        <v/>
      </c>
      <c r="H20" s="27">
        <f>D20-E20-F20-G20</f>
        <v/>
      </c>
    </row>
    <row r="21">
      <c r="B21" s="26" t="inlineStr">
        <is>
          <t>Performance on minimum spec</t>
        </is>
      </c>
      <c r="C21" s="27" t="inlineStr"/>
      <c r="D21" s="27">
        <f>COUNTIFS('EXE Checklist'!$B:$B,$B21)</f>
        <v/>
      </c>
      <c r="E21" s="27">
        <f>COUNTIFS('EXE Checklist'!$B:$B,$B21,'EXE Checklist'!$F:$F,"PASS")</f>
        <v/>
      </c>
      <c r="F21" s="27">
        <f>COUNTIFS('EXE Checklist'!$B:$B,$B21,'EXE Checklist'!$F:$F,"FAIL")</f>
        <v/>
      </c>
      <c r="G21" s="27">
        <f>COUNTIFS('EXE Checklist'!$B:$B,$B21,'EXE Checklist'!$F:$F,"N/A")</f>
        <v/>
      </c>
      <c r="H21" s="27">
        <f>D21-E21-F21-G21</f>
        <v/>
      </c>
    </row>
    <row r="22">
      <c r="B22" s="26" t="inlineStr">
        <is>
          <t>Security</t>
        </is>
      </c>
      <c r="C22" s="28" t="inlineStr">
        <is>
          <t>YES</t>
        </is>
      </c>
      <c r="D22" s="27">
        <f>COUNTIFS('EXE Checklist'!$B:$B,$B22)</f>
        <v/>
      </c>
      <c r="E22" s="27">
        <f>COUNTIFS('EXE Checklist'!$B:$B,$B22,'EXE Checklist'!$F:$F,"PASS")</f>
        <v/>
      </c>
      <c r="F22" s="27">
        <f>COUNTIFS('EXE Checklist'!$B:$B,$B22,'EXE Checklist'!$F:$F,"FAIL")</f>
        <v/>
      </c>
      <c r="G22" s="27">
        <f>COUNTIFS('EXE Checklist'!$B:$B,$B22,'EXE Checklist'!$F:$F,"N/A")</f>
        <v/>
      </c>
      <c r="H22" s="27">
        <f>D22-E22-F22-G22</f>
        <v/>
      </c>
    </row>
    <row r="23">
      <c r="B23" s="26" t="inlineStr">
        <is>
          <t>Update &amp; uninstall</t>
        </is>
      </c>
      <c r="C23" s="27" t="inlineStr"/>
      <c r="D23" s="27">
        <f>COUNTIFS('EXE Checklist'!$B:$B,$B23)</f>
        <v/>
      </c>
      <c r="E23" s="27">
        <f>COUNTIFS('EXE Checklist'!$B:$B,$B23,'EXE Checklist'!$F:$F,"PASS")</f>
        <v/>
      </c>
      <c r="F23" s="27">
        <f>COUNTIFS('EXE Checklist'!$B:$B,$B23,'EXE Checklist'!$F:$F,"FAIL")</f>
        <v/>
      </c>
      <c r="G23" s="27">
        <f>COUNTIFS('EXE Checklist'!$B:$B,$B23,'EXE Checklist'!$F:$F,"N/A")</f>
        <v/>
      </c>
      <c r="H23" s="27">
        <f>D23-E23-F23-G23</f>
        <v/>
      </c>
    </row>
    <row r="24">
      <c r="B24" s="26" t="inlineStr">
        <is>
          <t>Regression checks for the 2026-08-13 fix set</t>
        </is>
      </c>
      <c r="C24" s="27" t="inlineStr"/>
      <c r="D24" s="27">
        <f>COUNTIFS('EXE Checklist'!$B:$B,$B24)</f>
        <v/>
      </c>
      <c r="E24" s="27">
        <f>COUNTIFS('EXE Checklist'!$B:$B,$B24,'EXE Checklist'!$F:$F,"PASS")</f>
        <v/>
      </c>
      <c r="F24" s="27">
        <f>COUNTIFS('EXE Checklist'!$B:$B,$B24,'EXE Checklist'!$F:$F,"FAIL")</f>
        <v/>
      </c>
      <c r="G24" s="27">
        <f>COUNTIFS('EXE Checklist'!$B:$B,$B24,'EXE Checklist'!$F:$F,"N/A")</f>
        <v/>
      </c>
      <c r="H24" s="27">
        <f>D24-E24-F24-G24</f>
        <v/>
      </c>
    </row>
    <row r="25">
      <c r="B25" s="29" t="inlineStr">
        <is>
          <t>TOTAL</t>
        </is>
      </c>
      <c r="C25" s="29" t="n"/>
      <c r="D25" s="10">
        <f>SUM(D6:D24)</f>
        <v/>
      </c>
      <c r="E25" s="10">
        <f>SUM(E6:E24)</f>
        <v/>
      </c>
      <c r="F25" s="10">
        <f>SUM(F6:F24)</f>
        <v/>
      </c>
      <c r="G25" s="10">
        <f>SUM(G6:G24)</f>
        <v/>
      </c>
      <c r="H25" s="10">
        <f>SUM(H6:H24)</f>
        <v/>
      </c>
    </row>
    <row r="27">
      <c r="B27" s="30" t="inlineStr">
        <is>
          <t>Blocking layers clear?</t>
        </is>
      </c>
      <c r="D27" s="31">
        <f>IF((F7+F8+F9+F10+F11+F22)&gt;0,"NO — blocking failures",IF((H7+H8+H9+H10+H11+H22)&gt;0,"NOT YET — checks outstanding","YES"))</f>
        <v/>
      </c>
    </row>
    <row r="29">
      <c r="B29" s="5" t="inlineStr">
        <is>
          <t>Release decision</t>
        </is>
      </c>
    </row>
    <row r="30">
      <c r="B30" s="32" t="inlineStr">
        <is>
          <t>☐</t>
        </is>
      </c>
      <c r="C30" s="7" t="inlineStr">
        <is>
          <t>APPROVED — all blocking layers green, remaining defects accepted</t>
        </is>
      </c>
    </row>
    <row r="31">
      <c r="B31" s="32" t="inlineStr">
        <is>
          <t>☐</t>
        </is>
      </c>
      <c r="C31" s="7" t="inlineStr">
        <is>
          <t>REJECTED — blocking failures recorded in the Defect Log</t>
        </is>
      </c>
    </row>
  </sheetData>
  <mergeCells count="1">
    <mergeCell ref="D27:H27"/>
  </mergeCells>
  <conditionalFormatting sqref="E6:F25">
    <cfRule type="cellIs" priority="1" operator="greaterThan" dxfId="0">
      <formula>0</formula>
    </cfRule>
  </conditionalFormatting>
  <conditionalFormatting sqref="F6:F25">
    <cfRule type="cellIs" priority="2" operator="greaterThan" dxfId="1">
      <formula>0</formula>
    </cfRule>
  </conditionalFormatting>
  <conditionalFormatting sqref="D27">
    <cfRule type="cellIs" priority="3" operator="equal" dxfId="0">
      <formula>"YES"</formula>
    </cfRule>
    <cfRule type="cellIs" priority="4" operator="notEqual" dxfId="3">
      <formula>"YES"</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12" customWidth="1" min="3" max="3"/>
    <col width="44" customWidth="1" min="4" max="4"/>
    <col width="60" customWidth="1" min="5" max="5"/>
    <col width="16" customWidth="1" min="6" max="6"/>
    <col width="12" customWidth="1" min="7" max="7"/>
    <col width="14" customWidth="1" min="8" max="8"/>
  </cols>
  <sheetData>
    <row r="1">
      <c r="A1" s="8" t="inlineStr">
        <is>
          <t>Defect log</t>
        </is>
      </c>
    </row>
    <row r="2">
      <c r="A2" s="9" t="inlineStr">
        <is>
          <t>Severity — Blocker: ship-stopping · Major: workaround exists · Minor: cosmetic</t>
        </is>
      </c>
    </row>
    <row r="4" ht="28" customHeight="1">
      <c r="A4" s="16" t="inlineStr">
        <is>
          <t>#</t>
        </is>
      </c>
      <c r="B4" s="16" t="inlineStr">
        <is>
          <t>Check ID</t>
        </is>
      </c>
      <c r="C4" s="16" t="inlineStr">
        <is>
          <t>Severity</t>
        </is>
      </c>
      <c r="D4" s="16" t="inlineStr">
        <is>
          <t>Summary</t>
        </is>
      </c>
      <c r="E4" s="16" t="inlineStr">
        <is>
          <t>Steps to reproduce</t>
        </is>
      </c>
      <c r="F4" s="16" t="inlineStr">
        <is>
          <t>Raised by</t>
        </is>
      </c>
      <c r="G4" s="16" t="inlineStr">
        <is>
          <t>Date</t>
        </is>
      </c>
      <c r="H4" s="16" t="inlineStr">
        <is>
          <t>Status</t>
        </is>
      </c>
    </row>
    <row r="5">
      <c r="A5" s="33" t="n">
        <v>1</v>
      </c>
      <c r="B5" s="22" t="n"/>
      <c r="C5" s="22" t="n"/>
      <c r="D5" s="23" t="n"/>
      <c r="E5" s="23" t="n"/>
      <c r="F5" s="22" t="n"/>
      <c r="G5" s="22" t="n"/>
      <c r="H5" s="22" t="n"/>
    </row>
    <row r="6">
      <c r="A6" s="33" t="n">
        <v>2</v>
      </c>
      <c r="B6" s="22" t="n"/>
      <c r="C6" s="22" t="n"/>
      <c r="D6" s="23" t="n"/>
      <c r="E6" s="23" t="n"/>
      <c r="F6" s="22" t="n"/>
      <c r="G6" s="22" t="n"/>
      <c r="H6" s="22" t="n"/>
    </row>
    <row r="7">
      <c r="A7" s="33" t="n">
        <v>3</v>
      </c>
      <c r="B7" s="22" t="n"/>
      <c r="C7" s="22" t="n"/>
      <c r="D7" s="23" t="n"/>
      <c r="E7" s="23" t="n"/>
      <c r="F7" s="22" t="n"/>
      <c r="G7" s="22" t="n"/>
      <c r="H7" s="22" t="n"/>
    </row>
    <row r="8">
      <c r="A8" s="33" t="n">
        <v>4</v>
      </c>
      <c r="B8" s="22" t="n"/>
      <c r="C8" s="22" t="n"/>
      <c r="D8" s="23" t="n"/>
      <c r="E8" s="23" t="n"/>
      <c r="F8" s="22" t="n"/>
      <c r="G8" s="22" t="n"/>
      <c r="H8" s="22" t="n"/>
    </row>
    <row r="9">
      <c r="A9" s="33" t="n">
        <v>5</v>
      </c>
      <c r="B9" s="22" t="n"/>
      <c r="C9" s="22" t="n"/>
      <c r="D9" s="23" t="n"/>
      <c r="E9" s="23" t="n"/>
      <c r="F9" s="22" t="n"/>
      <c r="G9" s="22" t="n"/>
      <c r="H9" s="22" t="n"/>
    </row>
    <row r="10">
      <c r="A10" s="33" t="n">
        <v>6</v>
      </c>
      <c r="B10" s="22" t="n"/>
      <c r="C10" s="22" t="n"/>
      <c r="D10" s="23" t="n"/>
      <c r="E10" s="23" t="n"/>
      <c r="F10" s="22" t="n"/>
      <c r="G10" s="22" t="n"/>
      <c r="H10" s="22" t="n"/>
    </row>
    <row r="11">
      <c r="A11" s="33" t="n">
        <v>7</v>
      </c>
      <c r="B11" s="22" t="n"/>
      <c r="C11" s="22" t="n"/>
      <c r="D11" s="23" t="n"/>
      <c r="E11" s="23" t="n"/>
      <c r="F11" s="22" t="n"/>
      <c r="G11" s="22" t="n"/>
      <c r="H11" s="22" t="n"/>
    </row>
    <row r="12">
      <c r="A12" s="33" t="n">
        <v>8</v>
      </c>
      <c r="B12" s="22" t="n"/>
      <c r="C12" s="22" t="n"/>
      <c r="D12" s="23" t="n"/>
      <c r="E12" s="23" t="n"/>
      <c r="F12" s="22" t="n"/>
      <c r="G12" s="22" t="n"/>
      <c r="H12" s="22" t="n"/>
    </row>
    <row r="13">
      <c r="A13" s="33" t="n">
        <v>9</v>
      </c>
      <c r="B13" s="22" t="n"/>
      <c r="C13" s="22" t="n"/>
      <c r="D13" s="23" t="n"/>
      <c r="E13" s="23" t="n"/>
      <c r="F13" s="22" t="n"/>
      <c r="G13" s="22" t="n"/>
      <c r="H13" s="22" t="n"/>
    </row>
    <row r="14">
      <c r="A14" s="33" t="n">
        <v>10</v>
      </c>
      <c r="B14" s="22" t="n"/>
      <c r="C14" s="22" t="n"/>
      <c r="D14" s="23" t="n"/>
      <c r="E14" s="23" t="n"/>
      <c r="F14" s="22" t="n"/>
      <c r="G14" s="22" t="n"/>
      <c r="H14" s="22" t="n"/>
    </row>
    <row r="15">
      <c r="A15" s="33" t="n">
        <v>11</v>
      </c>
      <c r="B15" s="22" t="n"/>
      <c r="C15" s="22" t="n"/>
      <c r="D15" s="23" t="n"/>
      <c r="E15" s="23" t="n"/>
      <c r="F15" s="22" t="n"/>
      <c r="G15" s="22" t="n"/>
      <c r="H15" s="22" t="n"/>
    </row>
    <row r="16">
      <c r="A16" s="33" t="n">
        <v>12</v>
      </c>
      <c r="B16" s="22" t="n"/>
      <c r="C16" s="22" t="n"/>
      <c r="D16" s="23" t="n"/>
      <c r="E16" s="23" t="n"/>
      <c r="F16" s="22" t="n"/>
      <c r="G16" s="22" t="n"/>
      <c r="H16" s="22" t="n"/>
    </row>
    <row r="17">
      <c r="A17" s="33" t="n">
        <v>13</v>
      </c>
      <c r="B17" s="22" t="n"/>
      <c r="C17" s="22" t="n"/>
      <c r="D17" s="23" t="n"/>
      <c r="E17" s="23" t="n"/>
      <c r="F17" s="22" t="n"/>
      <c r="G17" s="22" t="n"/>
      <c r="H17" s="22" t="n"/>
    </row>
    <row r="18">
      <c r="A18" s="33" t="n">
        <v>14</v>
      </c>
      <c r="B18" s="22" t="n"/>
      <c r="C18" s="22" t="n"/>
      <c r="D18" s="23" t="n"/>
      <c r="E18" s="23" t="n"/>
      <c r="F18" s="22" t="n"/>
      <c r="G18" s="22" t="n"/>
      <c r="H18" s="22" t="n"/>
    </row>
    <row r="19">
      <c r="A19" s="33" t="n">
        <v>15</v>
      </c>
      <c r="B19" s="22" t="n"/>
      <c r="C19" s="22" t="n"/>
      <c r="D19" s="23" t="n"/>
      <c r="E19" s="23" t="n"/>
      <c r="F19" s="22" t="n"/>
      <c r="G19" s="22" t="n"/>
      <c r="H19" s="22" t="n"/>
    </row>
    <row r="20">
      <c r="A20" s="33" t="n">
        <v>16</v>
      </c>
      <c r="B20" s="22" t="n"/>
      <c r="C20" s="22" t="n"/>
      <c r="D20" s="23" t="n"/>
      <c r="E20" s="23" t="n"/>
      <c r="F20" s="22" t="n"/>
      <c r="G20" s="22" t="n"/>
      <c r="H20" s="22" t="n"/>
    </row>
    <row r="21">
      <c r="A21" s="33" t="n">
        <v>17</v>
      </c>
      <c r="B21" s="22" t="n"/>
      <c r="C21" s="22" t="n"/>
      <c r="D21" s="23" t="n"/>
      <c r="E21" s="23" t="n"/>
      <c r="F21" s="22" t="n"/>
      <c r="G21" s="22" t="n"/>
      <c r="H21" s="22" t="n"/>
    </row>
    <row r="22">
      <c r="A22" s="33" t="n">
        <v>18</v>
      </c>
      <c r="B22" s="22" t="n"/>
      <c r="C22" s="22" t="n"/>
      <c r="D22" s="23" t="n"/>
      <c r="E22" s="23" t="n"/>
      <c r="F22" s="22" t="n"/>
      <c r="G22" s="22" t="n"/>
      <c r="H22" s="22" t="n"/>
    </row>
    <row r="23">
      <c r="A23" s="33" t="n">
        <v>19</v>
      </c>
      <c r="B23" s="22" t="n"/>
      <c r="C23" s="22" t="n"/>
      <c r="D23" s="23" t="n"/>
      <c r="E23" s="23" t="n"/>
      <c r="F23" s="22" t="n"/>
      <c r="G23" s="22" t="n"/>
      <c r="H23" s="22" t="n"/>
    </row>
    <row r="24">
      <c r="A24" s="33" t="n">
        <v>20</v>
      </c>
      <c r="B24" s="22" t="n"/>
      <c r="C24" s="22" t="n"/>
      <c r="D24" s="23" t="n"/>
      <c r="E24" s="23" t="n"/>
      <c r="F24" s="22" t="n"/>
      <c r="G24" s="22" t="n"/>
      <c r="H24" s="22" t="n"/>
    </row>
    <row r="25">
      <c r="A25" s="33" t="n">
        <v>21</v>
      </c>
      <c r="B25" s="22" t="n"/>
      <c r="C25" s="22" t="n"/>
      <c r="D25" s="23" t="n"/>
      <c r="E25" s="23" t="n"/>
      <c r="F25" s="22" t="n"/>
      <c r="G25" s="22" t="n"/>
      <c r="H25" s="22" t="n"/>
    </row>
    <row r="26">
      <c r="A26" s="33" t="n">
        <v>22</v>
      </c>
      <c r="B26" s="22" t="n"/>
      <c r="C26" s="22" t="n"/>
      <c r="D26" s="23" t="n"/>
      <c r="E26" s="23" t="n"/>
      <c r="F26" s="22" t="n"/>
      <c r="G26" s="22" t="n"/>
      <c r="H26" s="22" t="n"/>
    </row>
    <row r="27">
      <c r="A27" s="33" t="n">
        <v>23</v>
      </c>
      <c r="B27" s="22" t="n"/>
      <c r="C27" s="22" t="n"/>
      <c r="D27" s="23" t="n"/>
      <c r="E27" s="23" t="n"/>
      <c r="F27" s="22" t="n"/>
      <c r="G27" s="22" t="n"/>
      <c r="H27" s="22" t="n"/>
    </row>
    <row r="28">
      <c r="A28" s="33" t="n">
        <v>24</v>
      </c>
      <c r="B28" s="22" t="n"/>
      <c r="C28" s="22" t="n"/>
      <c r="D28" s="23" t="n"/>
      <c r="E28" s="23" t="n"/>
      <c r="F28" s="22" t="n"/>
      <c r="G28" s="22" t="n"/>
      <c r="H28" s="22" t="n"/>
    </row>
    <row r="29">
      <c r="A29" s="33" t="n">
        <v>25</v>
      </c>
      <c r="B29" s="22" t="n"/>
      <c r="C29" s="22" t="n"/>
      <c r="D29" s="23" t="n"/>
      <c r="E29" s="23" t="n"/>
      <c r="F29" s="22" t="n"/>
      <c r="G29" s="22" t="n"/>
      <c r="H29" s="22" t="n"/>
    </row>
    <row r="30">
      <c r="A30" s="33" t="n">
        <v>26</v>
      </c>
      <c r="B30" s="22" t="n"/>
      <c r="C30" s="22" t="n"/>
      <c r="D30" s="23" t="n"/>
      <c r="E30" s="23" t="n"/>
      <c r="F30" s="22" t="n"/>
      <c r="G30" s="22" t="n"/>
      <c r="H30" s="22" t="n"/>
    </row>
    <row r="31">
      <c r="A31" s="33" t="n">
        <v>27</v>
      </c>
      <c r="B31" s="22" t="n"/>
      <c r="C31" s="22" t="n"/>
      <c r="D31" s="23" t="n"/>
      <c r="E31" s="23" t="n"/>
      <c r="F31" s="22" t="n"/>
      <c r="G31" s="22" t="n"/>
      <c r="H31" s="22" t="n"/>
    </row>
    <row r="32">
      <c r="A32" s="33" t="n">
        <v>28</v>
      </c>
      <c r="B32" s="22" t="n"/>
      <c r="C32" s="22" t="n"/>
      <c r="D32" s="23" t="n"/>
      <c r="E32" s="23" t="n"/>
      <c r="F32" s="22" t="n"/>
      <c r="G32" s="22" t="n"/>
      <c r="H32" s="22" t="n"/>
    </row>
    <row r="33">
      <c r="A33" s="33" t="n">
        <v>29</v>
      </c>
      <c r="B33" s="22" t="n"/>
      <c r="C33" s="22" t="n"/>
      <c r="D33" s="23" t="n"/>
      <c r="E33" s="23" t="n"/>
      <c r="F33" s="22" t="n"/>
      <c r="G33" s="22" t="n"/>
      <c r="H33" s="22" t="n"/>
    </row>
    <row r="34">
      <c r="A34" s="33" t="n">
        <v>30</v>
      </c>
      <c r="B34" s="22" t="n"/>
      <c r="C34" s="22" t="n"/>
      <c r="D34" s="23" t="n"/>
      <c r="E34" s="23" t="n"/>
      <c r="F34" s="22" t="n"/>
      <c r="G34" s="22" t="n"/>
      <c r="H34" s="22" t="n"/>
    </row>
    <row r="35">
      <c r="A35" s="33" t="n">
        <v>31</v>
      </c>
      <c r="B35" s="22" t="n"/>
      <c r="C35" s="22" t="n"/>
      <c r="D35" s="23" t="n"/>
      <c r="E35" s="23" t="n"/>
      <c r="F35" s="22" t="n"/>
      <c r="G35" s="22" t="n"/>
      <c r="H35" s="22" t="n"/>
    </row>
    <row r="36">
      <c r="A36" s="33" t="n">
        <v>32</v>
      </c>
      <c r="B36" s="22" t="n"/>
      <c r="C36" s="22" t="n"/>
      <c r="D36" s="23" t="n"/>
      <c r="E36" s="23" t="n"/>
      <c r="F36" s="22" t="n"/>
      <c r="G36" s="22" t="n"/>
      <c r="H36" s="22" t="n"/>
    </row>
    <row r="37">
      <c r="A37" s="33" t="n">
        <v>33</v>
      </c>
      <c r="B37" s="22" t="n"/>
      <c r="C37" s="22" t="n"/>
      <c r="D37" s="23" t="n"/>
      <c r="E37" s="23" t="n"/>
      <c r="F37" s="22" t="n"/>
      <c r="G37" s="22" t="n"/>
      <c r="H37" s="22" t="n"/>
    </row>
    <row r="38">
      <c r="A38" s="33" t="n">
        <v>34</v>
      </c>
      <c r="B38" s="22" t="n"/>
      <c r="C38" s="22" t="n"/>
      <c r="D38" s="23" t="n"/>
      <c r="E38" s="23" t="n"/>
      <c r="F38" s="22" t="n"/>
      <c r="G38" s="22" t="n"/>
      <c r="H38" s="22" t="n"/>
    </row>
    <row r="39">
      <c r="A39" s="33" t="n">
        <v>35</v>
      </c>
      <c r="B39" s="22" t="n"/>
      <c r="C39" s="22" t="n"/>
      <c r="D39" s="23" t="n"/>
      <c r="E39" s="23" t="n"/>
      <c r="F39" s="22" t="n"/>
      <c r="G39" s="22" t="n"/>
      <c r="H39" s="22" t="n"/>
    </row>
    <row r="40">
      <c r="A40" s="33" t="n">
        <v>36</v>
      </c>
      <c r="B40" s="22" t="n"/>
      <c r="C40" s="22" t="n"/>
      <c r="D40" s="23" t="n"/>
      <c r="E40" s="23" t="n"/>
      <c r="F40" s="22" t="n"/>
      <c r="G40" s="22" t="n"/>
      <c r="H40" s="22" t="n"/>
    </row>
    <row r="41">
      <c r="A41" s="33" t="n">
        <v>37</v>
      </c>
      <c r="B41" s="22" t="n"/>
      <c r="C41" s="22" t="n"/>
      <c r="D41" s="23" t="n"/>
      <c r="E41" s="23" t="n"/>
      <c r="F41" s="22" t="n"/>
      <c r="G41" s="22" t="n"/>
      <c r="H41" s="22" t="n"/>
    </row>
    <row r="42">
      <c r="A42" s="33" t="n">
        <v>38</v>
      </c>
      <c r="B42" s="22" t="n"/>
      <c r="C42" s="22" t="n"/>
      <c r="D42" s="23" t="n"/>
      <c r="E42" s="23" t="n"/>
      <c r="F42" s="22" t="n"/>
      <c r="G42" s="22" t="n"/>
      <c r="H42" s="22" t="n"/>
    </row>
    <row r="43">
      <c r="A43" s="33" t="n">
        <v>39</v>
      </c>
      <c r="B43" s="22" t="n"/>
      <c r="C43" s="22" t="n"/>
      <c r="D43" s="23" t="n"/>
      <c r="E43" s="23" t="n"/>
      <c r="F43" s="22" t="n"/>
      <c r="G43" s="22" t="n"/>
      <c r="H43" s="22" t="n"/>
    </row>
    <row r="44">
      <c r="A44" s="33" t="n">
        <v>40</v>
      </c>
      <c r="B44" s="22" t="n"/>
      <c r="C44" s="22" t="n"/>
      <c r="D44" s="23" t="n"/>
      <c r="E44" s="23" t="n"/>
      <c r="F44" s="22" t="n"/>
      <c r="G44" s="22" t="n"/>
      <c r="H44" s="22" t="n"/>
    </row>
  </sheetData>
  <conditionalFormatting sqref="C5:C44">
    <cfRule type="cellIs" priority="1" operator="equal" dxfId="1">
      <formula>"Blocker"</formula>
    </cfRule>
  </conditionalFormatting>
  <dataValidations count="2">
    <dataValidation sqref="C5:C44" showDropDown="0" showInputMessage="0" showErrorMessage="0" allowBlank="1" type="list">
      <formula1>"Blocker,Major,Minor"</formula1>
    </dataValidation>
    <dataValidation sqref="H5:H44" showDropDown="0" showInputMessage="0" showErrorMessage="0" allowBlank="1" type="list">
      <formula1>"Open,In progress,Fixed,Accepted,Closed"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E9"/>
  <sheetViews>
    <sheetView workbookViewId="0">
      <selection activeCell="A1" sqref="A1"/>
    </sheetView>
  </sheetViews>
  <sheetFormatPr baseColWidth="8" defaultRowHeight="15"/>
  <cols>
    <col width="3" customWidth="1" min="1" max="1"/>
    <col width="26" customWidth="1" min="2" max="2"/>
    <col width="30" customWidth="1" min="3" max="3"/>
    <col width="30" customWidth="1" min="4" max="4"/>
    <col width="18" customWidth="1" min="5" max="5"/>
  </cols>
  <sheetData>
    <row r="2">
      <c r="B2" s="8" t="inlineStr">
        <is>
          <t>Release sign-off</t>
        </is>
      </c>
    </row>
    <row r="3">
      <c r="B3" s="9" t="inlineStr">
        <is>
          <t>Sign only when the Summary sheet reports blocking layers clear.</t>
        </is>
      </c>
    </row>
    <row r="5" ht="28" customHeight="1">
      <c r="A5" s="16" t="n"/>
      <c r="B5" s="16" t="inlineStr">
        <is>
          <t>Role</t>
        </is>
      </c>
      <c r="C5" s="16" t="inlineStr">
        <is>
          <t>Name</t>
        </is>
      </c>
      <c r="D5" s="16" t="inlineStr">
        <is>
          <t>Signature</t>
        </is>
      </c>
      <c r="E5" s="16" t="inlineStr">
        <is>
          <t>Date</t>
        </is>
      </c>
    </row>
    <row r="6" ht="34" customHeight="1">
      <c r="B6" s="34" t="inlineStr">
        <is>
          <t>QA Engineer</t>
        </is>
      </c>
      <c r="C6" s="35" t="n"/>
      <c r="D6" s="35" t="n"/>
      <c r="E6" s="35" t="n"/>
    </row>
    <row r="7" ht="34" customHeight="1">
      <c r="B7" s="34" t="inlineStr">
        <is>
          <t>Engineering Lead</t>
        </is>
      </c>
      <c r="C7" s="35" t="n"/>
      <c r="D7" s="35" t="n"/>
      <c r="E7" s="35" t="n"/>
    </row>
    <row r="8" ht="34" customHeight="1">
      <c r="B8" s="34" t="inlineStr">
        <is>
          <t>Clinical Reviewer</t>
        </is>
      </c>
      <c r="C8" s="35" t="n"/>
      <c r="D8" s="35" t="n"/>
      <c r="E8" s="35" t="n"/>
    </row>
    <row r="9" ht="34" customHeight="1">
      <c r="B9" s="34" t="inlineStr">
        <is>
          <t>Release Manager</t>
        </is>
      </c>
      <c r="C9" s="35" t="n"/>
      <c r="D9" s="35" t="n"/>
      <c r="E9" s="3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2026-08-18T12:56:17Z</dcterms:created>
  <dcterms:modified xmlns:dcterms="http://purl.org/dc/terms/" xmlns:xsi="http://www.w3.org/2001/XMLSchema-instance" xsi:type="dcterms:W3CDTF">2026-08-18T12:56:18Z</dcterms:modified>
</cp:coreProperties>
</file>